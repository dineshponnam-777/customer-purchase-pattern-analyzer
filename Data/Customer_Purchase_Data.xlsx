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f6f237ad0f3e2/Desktop/"/>
    </mc:Choice>
  </mc:AlternateContent>
  <xr:revisionPtr revIDLastSave="1" documentId="8_{1AA790A6-7578-4523-9CB8-C20375B02F75}" xr6:coauthVersionLast="47" xr6:coauthVersionMax="47" xr10:uidLastSave="{966AF09F-932C-4E9F-893A-309EFC7B6941}"/>
  <bookViews>
    <workbookView xWindow="-108" yWindow="-108" windowWidth="23256" windowHeight="12456" xr2:uid="{B64164B8-C161-49E8-95DB-52934E6EB3BA}"/>
  </bookViews>
  <sheets>
    <sheet name="Customer_Purchas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</calcChain>
</file>

<file path=xl/sharedStrings.xml><?xml version="1.0" encoding="utf-8"?>
<sst xmlns="http://schemas.openxmlformats.org/spreadsheetml/2006/main" count="1320" uniqueCount="286">
  <si>
    <t>Customer 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</si>
  <si>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</si>
  <si>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</si>
  <si>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</si>
  <si>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</si>
  <si>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</si>
  <si>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</si>
  <si>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</si>
  <si>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</si>
  <si>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</si>
  <si>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</si>
  <si>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</si>
  <si>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</si>
  <si>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</si>
  <si>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</si>
  <si>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</si>
  <si>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</si>
  <si>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</si>
  <si>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</si>
  <si>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</si>
  <si>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</si>
  <si>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</si>
  <si>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</si>
  <si>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</si>
  <si>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</si>
  <si>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</si>
  <si>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</si>
  <si>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</si>
  <si>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</si>
  <si>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</si>
  <si>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</si>
  <si>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</si>
  <si>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</si>
  <si>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</si>
  <si>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</si>
  <si>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</si>
  <si>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</si>
  <si>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</si>
  <si>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</si>
  <si>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</si>
  <si>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</si>
  <si>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</si>
  <si>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</si>
  <si>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</si>
  <si>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</si>
  <si>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</si>
  <si>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</si>
  <si>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</si>
  <si>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</si>
  <si>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</si>
  <si>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</si>
  <si>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</si>
  <si>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</si>
  <si>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</si>
  <si>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</si>
  <si>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</si>
  <si>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</si>
  <si>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</si>
  <si>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</si>
  <si>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</si>
  <si>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</si>
  <si>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</si>
  <si>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</si>
  <si>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</si>
  <si>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</si>
  <si>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</si>
  <si>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</si>
  <si>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</si>
  <si>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</si>
  <si>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</si>
  <si>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</si>
  <si>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</si>
  <si>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</si>
  <si>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</si>
  <si>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</si>
  <si>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</si>
  <si>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</si>
  <si>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</si>
  <si>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</si>
  <si>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</si>
  <si>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</si>
  <si>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</si>
  <si>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</si>
  <si>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</si>
  <si>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</si>
  <si>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</si>
  <si>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</si>
  <si>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</si>
  <si>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</si>
  <si>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</si>
  <si>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</si>
  <si>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</si>
  <si>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</si>
  <si>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</si>
  <si>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</si>
  <si>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</si>
  <si>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</si>
  <si>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</si>
  <si>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</si>
  <si>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</si>
  <si>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</si>
  <si>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Customer Name</t>
  </si>
  <si>
    <t>Age</t>
  </si>
  <si>
    <t>Gender</t>
  </si>
  <si>
    <t>City</t>
  </si>
  <si>
    <t>Region</t>
  </si>
  <si>
    <t>Customer 1</t>
  </si>
  <si>
    <t>Male</t>
  </si>
  <si>
    <t>Ahmedabad</t>
  </si>
  <si>
    <t>West</t>
  </si>
  <si>
    <t>Customer 2</t>
  </si>
  <si>
    <t>Female</t>
  </si>
  <si>
    <t>Delhi</t>
  </si>
  <si>
    <t>North</t>
  </si>
  <si>
    <t>Customer 3</t>
  </si>
  <si>
    <t>Customer 4</t>
  </si>
  <si>
    <t>Chennai</t>
  </si>
  <si>
    <t>South</t>
  </si>
  <si>
    <t>Customer 5</t>
  </si>
  <si>
    <t>Pune</t>
  </si>
  <si>
    <t>Customer 6</t>
  </si>
  <si>
    <t>Customer 7</t>
  </si>
  <si>
    <t>Mumbai</t>
  </si>
  <si>
    <t>Customer 8</t>
  </si>
  <si>
    <t>Customer 9</t>
  </si>
  <si>
    <t>Customer 10</t>
  </si>
  <si>
    <t>Customer 11</t>
  </si>
  <si>
    <t>Customer 12</t>
  </si>
  <si>
    <t>Customer 13</t>
  </si>
  <si>
    <t>Hyderabad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</si>
  <si>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</si>
  <si>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</si>
  <si>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</si>
  <si>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</si>
  <si>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</si>
  <si>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</si>
  <si>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</si>
  <si>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</si>
  <si>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Bengaluru</t>
  </si>
  <si>
    <t>Customer 22</t>
  </si>
  <si>
    <t>Customer 23</t>
  </si>
  <si>
    <t>Customer 24</t>
  </si>
  <si>
    <t>Customer 25</t>
  </si>
  <si>
    <t>Customer 26</t>
  </si>
  <si>
    <t>Kolkata</t>
  </si>
  <si>
    <t>East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</si>
  <si>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</si>
  <si>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</si>
  <si>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</si>
  <si>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</si>
  <si>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</si>
  <si>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</si>
  <si>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</si>
  <si>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</si>
  <si>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</si>
  <si>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</si>
  <si>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</si>
  <si>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</si>
  <si>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</si>
  <si>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</si>
  <si>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</si>
  <si>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</si>
  <si>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</si>
  <si>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</si>
  <si>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</si>
  <si>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</si>
  <si>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</si>
  <si>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</si>
  <si>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</si>
  <si>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</si>
  <si>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</si>
  <si>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</si>
  <si>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</si>
  <si>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</si>
  <si>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</si>
  <si>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</si>
  <si>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</si>
  <si>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</si>
  <si>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</si>
  <si>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</si>
  <si>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</si>
  <si>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</si>
  <si>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</si>
  <si>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</si>
  <si>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</si>
  <si>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</si>
  <si>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</si>
  <si>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</si>
  <si>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</si>
  <si>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</si>
  <si>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</si>
  <si>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</si>
  <si>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</si>
  <si>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</si>
  <si>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</si>
  <si>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</si>
  <si>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</si>
  <si>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</si>
  <si>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</si>
  <si>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</si>
  <si>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</si>
  <si>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</si>
  <si>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</si>
  <si>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</si>
  <si>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</si>
  <si>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</si>
  <si>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</si>
  <si>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</si>
  <si>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</si>
  <si>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</si>
  <si>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</si>
  <si>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</si>
  <si>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</si>
  <si>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</si>
  <si>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</si>
  <si>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</si>
  <si>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</si>
  <si>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</si>
  <si>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</si>
  <si>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</si>
  <si>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Occupation</t>
  </si>
  <si>
    <t>Product Category</t>
  </si>
  <si>
    <t>Product Name</t>
  </si>
  <si>
    <t>Purchase Date</t>
  </si>
  <si>
    <t>Quantity Purchased</t>
  </si>
  <si>
    <t>Unit Price</t>
  </si>
  <si>
    <t>Total Purchase Value</t>
  </si>
  <si>
    <t>Payment Method</t>
  </si>
  <si>
    <t>Purchase Channel</t>
  </si>
  <si>
    <t>Customer Segment</t>
  </si>
  <si>
    <t>Loyalty Status</t>
  </si>
  <si>
    <t>Discount Used</t>
  </si>
  <si>
    <t>Purchase Frequency</t>
  </si>
  <si>
    <t>Last Purchase Date</t>
  </si>
  <si>
    <t>Engineer</t>
  </si>
  <si>
    <t>Beauty</t>
  </si>
  <si>
    <t>Moisturizer</t>
  </si>
  <si>
    <t>Credit Card</t>
  </si>
  <si>
    <t>Offline</t>
  </si>
  <si>
    <t>Budget</t>
  </si>
  <si>
    <t>Bronze</t>
  </si>
  <si>
    <t>Quarterly</t>
  </si>
  <si>
    <t>Doctor</t>
  </si>
  <si>
    <t>Electronics</t>
  </si>
  <si>
    <t>Smart Watch</t>
  </si>
  <si>
    <t>UPI</t>
  </si>
  <si>
    <t>Premium</t>
  </si>
  <si>
    <t>Gold</t>
  </si>
  <si>
    <t>Monthly</t>
  </si>
  <si>
    <t>Analyst</t>
  </si>
  <si>
    <t>Bluetooth Speaker</t>
  </si>
  <si>
    <t>Debit Card</t>
  </si>
  <si>
    <t>Online</t>
  </si>
  <si>
    <t>Student</t>
  </si>
  <si>
    <t>Sports</t>
  </si>
  <si>
    <t>Yoga Mat</t>
  </si>
  <si>
    <t>Silver</t>
  </si>
  <si>
    <t>Fashion</t>
  </si>
  <si>
    <t>Sneakers</t>
  </si>
  <si>
    <t>Cash</t>
  </si>
  <si>
    <t>Consultant</t>
  </si>
  <si>
    <t>Jacket</t>
  </si>
  <si>
    <t>Weekly</t>
  </si>
  <si>
    <t>Teacher</t>
  </si>
  <si>
    <t>Regular</t>
  </si>
  <si>
    <t>Grocery</t>
  </si>
  <si>
    <t>Tea Powder</t>
  </si>
  <si>
    <t>Dumbbells</t>
  </si>
  <si>
    <t>Manager</t>
  </si>
  <si>
    <t>Jeans</t>
  </si>
  <si>
    <t>Rice Pack</t>
  </si>
  <si>
    <t>Designer</t>
  </si>
  <si>
    <t>Perfume</t>
  </si>
  <si>
    <t>Football</t>
  </si>
  <si>
    <t>Shampoo</t>
  </si>
  <si>
    <t>Cooking Oil</t>
  </si>
  <si>
    <t>Home Decor</t>
  </si>
  <si>
    <t>Cushion</t>
  </si>
  <si>
    <t>Wall Art</t>
  </si>
  <si>
    <t>Face Wash</t>
  </si>
  <si>
    <t>Snacks</t>
  </si>
  <si>
    <t>Power Bank</t>
  </si>
  <si>
    <t>Headphones</t>
  </si>
  <si>
    <t>Cricket Bat</t>
  </si>
  <si>
    <t>T-Shirt</t>
  </si>
  <si>
    <t>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</si>
</sst>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1ABC-3481-4812-B62F-A2B866699637}">
  <dimension ref="A1:U101"/>
  <sheetViews>
    <sheetView tabSelected="1" workbookViewId="0">
      <selection activeCell="C5" sqref="C5"/>
    </sheetView>
  </sheetViews>
  <sheetFormatPr defaultRowHeight="14.4" x14ac:dyDescent="0.3"/>
  <cols>
    <col min="1" max="1" width="13.5546875" customWidth="1"/>
    <col min="2" max="2" width="17.33203125" customWidth="1"/>
    <col min="3" max="3" width="11" customWidth="1"/>
    <col min="4" max="4" width="12.44140625" customWidth="1"/>
    <col min="5" max="5" width="17.77734375" customWidth="1"/>
    <col min="6" max="6" width="17.109375" customWidth="1"/>
    <col min="7" max="7" width="17.44140625" customWidth="1"/>
    <col min="8" max="8" width="19.5546875" customWidth="1"/>
    <col min="9" max="9" width="18.33203125" customWidth="1"/>
    <col min="10" max="10" width="19.88671875" customWidth="1"/>
    <col min="11" max="11" width="21.109375" customWidth="1"/>
    <col min="12" max="12" width="16.109375" customWidth="1"/>
    <col min="13" max="13" width="28.77734375" customWidth="1"/>
    <col min="14" max="14" width="18.33203125" customWidth="1"/>
    <col min="15" max="15" width="22.44140625" customWidth="1"/>
    <col min="16" max="16" width="19.6640625" customWidth="1"/>
    <col min="17" max="17" width="19.33203125" customWidth="1"/>
    <col min="18" max="18" width="18.6640625" customWidth="1"/>
    <col min="19" max="19" width="21.77734375" customWidth="1"/>
    <col min="20" max="20" width="22.21875" customWidth="1"/>
  </cols>
  <sheetData>
    <row r="1" spans="1:21" ht="15.6" x14ac:dyDescent="0.3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4"/>
    </row>
    <row r="2" spans="1:21" ht="15.6" x14ac:dyDescent="0.3">
      <c r="A2" s="1" t="s">
        <v>1</v>
      </c>
      <c r="B2" s="1" t="s">
        <v>106</v>
      </c>
      <c r="C2" s="1">
        <v>25</v>
      </c>
      <c r="D2" s="1" t="s">
        <v>107</v>
      </c>
      <c r="E2" s="1" t="s">
        <v>108</v>
      </c>
      <c r="F2" s="1" t="s">
        <v>109</v>
      </c>
      <c r="G2" s="1" t="s">
        <v>234</v>
      </c>
      <c r="H2" s="1" t="s">
        <v>235</v>
      </c>
      <c r="I2" s="1" t="s">
        <v>236</v>
      </c>
      <c r="J2" s="2">
        <v>45863</v>
      </c>
      <c r="K2" s="1">
        <v>4</v>
      </c>
      <c r="L2" s="1">
        <v>3355</v>
      </c>
      <c r="M2" s="1">
        <f>K2*L2</f>
        <v>13420</v>
      </c>
      <c r="N2" s="1" t="s">
        <v>237</v>
      </c>
      <c r="O2" s="1" t="s">
        <v>238</v>
      </c>
      <c r="P2" s="1" t="s">
        <v>239</v>
      </c>
      <c r="Q2" s="1" t="s">
        <v>240</v>
      </c>
      <c r="R2" s="3">
        <v>0.2</v>
      </c>
      <c r="S2" s="1" t="s">
        <v>241</v>
      </c>
      <c r="T2" s="2">
        <v>45879</v>
      </c>
    </row>
    <row r="3" spans="1:21" ht="15.6" x14ac:dyDescent="0.3">
      <c r="A3" s="1" t="s">
        <v>2</v>
      </c>
      <c r="B3" s="1" t="s">
        <v>110</v>
      </c>
      <c r="C3" s="1">
        <v>54</v>
      </c>
      <c r="D3" s="1" t="s">
        <v>111</v>
      </c>
      <c r="E3" s="1" t="s">
        <v>112</v>
      </c>
      <c r="F3" s="1" t="s">
        <v>113</v>
      </c>
      <c r="G3" s="1" t="s">
        <v>242</v>
      </c>
      <c r="H3" s="1" t="s">
        <v>243</v>
      </c>
      <c r="I3" s="1" t="s">
        <v>244</v>
      </c>
      <c r="J3" s="2">
        <v>45779</v>
      </c>
      <c r="K3" s="1">
        <v>3</v>
      </c>
      <c r="L3" s="1">
        <v>3660</v>
      </c>
      <c r="M3" s="1">
        <f t="shared" ref="M3:M66" si="0">K3*L3</f>
        <v>10980</v>
      </c>
      <c r="N3" s="1" t="s">
        <v>245</v>
      </c>
      <c r="O3" s="1" t="s">
        <v>238</v>
      </c>
      <c r="P3" s="1" t="s">
        <v>246</v>
      </c>
      <c r="Q3" s="1" t="s">
        <v>247</v>
      </c>
      <c r="R3" s="3">
        <v>0.2</v>
      </c>
      <c r="S3" s="1" t="s">
        <v>248</v>
      </c>
      <c r="T3" s="2">
        <v>45823</v>
      </c>
    </row>
    <row r="4" spans="1:21" ht="15.6" x14ac:dyDescent="0.3">
      <c r="A4" s="1" t="s">
        <v>3</v>
      </c>
      <c r="B4" s="1" t="s">
        <v>114</v>
      </c>
      <c r="C4" s="1">
        <v>31</v>
      </c>
      <c r="D4" s="1" t="s">
        <v>107</v>
      </c>
      <c r="E4" s="1" t="s">
        <v>112</v>
      </c>
      <c r="F4" s="1" t="s">
        <v>113</v>
      </c>
      <c r="G4" s="1" t="s">
        <v>242</v>
      </c>
      <c r="H4" s="1" t="s">
        <v>243</v>
      </c>
      <c r="I4" s="1" t="s">
        <v>244</v>
      </c>
      <c r="J4" s="2">
        <v>45742</v>
      </c>
      <c r="K4" s="1">
        <v>3</v>
      </c>
      <c r="L4" s="1">
        <v>263</v>
      </c>
      <c r="M4" s="1">
        <f t="shared" si="0"/>
        <v>789</v>
      </c>
      <c r="N4" s="1" t="s">
        <v>245</v>
      </c>
      <c r="O4" s="1" t="s">
        <v>238</v>
      </c>
      <c r="P4" s="1" t="s">
        <v>239</v>
      </c>
      <c r="Q4" s="1" t="s">
        <v>240</v>
      </c>
      <c r="R4" s="3">
        <v>0.05</v>
      </c>
      <c r="S4" s="1" t="s">
        <v>248</v>
      </c>
      <c r="T4" s="2">
        <v>45811</v>
      </c>
    </row>
    <row r="5" spans="1:21" ht="15.6" x14ac:dyDescent="0.3">
      <c r="A5" s="1" t="s">
        <v>4</v>
      </c>
      <c r="B5" s="1" t="s">
        <v>115</v>
      </c>
      <c r="C5" s="1">
        <v>57</v>
      </c>
      <c r="D5" s="1" t="s">
        <v>111</v>
      </c>
      <c r="E5" s="1" t="s">
        <v>116</v>
      </c>
      <c r="F5" s="1" t="s">
        <v>117</v>
      </c>
      <c r="G5" s="1" t="s">
        <v>249</v>
      </c>
      <c r="H5" s="1" t="s">
        <v>243</v>
      </c>
      <c r="I5" s="1" t="s">
        <v>250</v>
      </c>
      <c r="J5" s="2">
        <v>45887</v>
      </c>
      <c r="K5" s="1">
        <v>1</v>
      </c>
      <c r="L5" s="1">
        <v>742</v>
      </c>
      <c r="M5" s="1">
        <f t="shared" si="0"/>
        <v>742</v>
      </c>
      <c r="N5" s="1" t="s">
        <v>251</v>
      </c>
      <c r="O5" s="1" t="s">
        <v>252</v>
      </c>
      <c r="P5" s="1" t="s">
        <v>239</v>
      </c>
      <c r="Q5" s="1" t="s">
        <v>247</v>
      </c>
      <c r="R5" s="3">
        <v>0.1</v>
      </c>
      <c r="S5" s="1" t="s">
        <v>241</v>
      </c>
      <c r="T5" s="2">
        <v>45946</v>
      </c>
    </row>
    <row r="6" spans="1:21" ht="15.6" x14ac:dyDescent="0.3">
      <c r="A6" s="1" t="s">
        <v>5</v>
      </c>
      <c r="B6" s="1" t="s">
        <v>118</v>
      </c>
      <c r="C6" s="1">
        <v>20</v>
      </c>
      <c r="D6" s="1" t="s">
        <v>111</v>
      </c>
      <c r="E6" s="1" t="s">
        <v>119</v>
      </c>
      <c r="F6" s="1" t="s">
        <v>109</v>
      </c>
      <c r="G6" s="1" t="s">
        <v>253</v>
      </c>
      <c r="H6" s="1" t="s">
        <v>254</v>
      </c>
      <c r="I6" s="1" t="s">
        <v>255</v>
      </c>
      <c r="J6" s="2">
        <v>45722</v>
      </c>
      <c r="K6" s="1">
        <v>5</v>
      </c>
      <c r="L6" s="1">
        <v>1574</v>
      </c>
      <c r="M6" s="1">
        <f t="shared" si="0"/>
        <v>7870</v>
      </c>
      <c r="N6" s="1" t="s">
        <v>237</v>
      </c>
      <c r="O6" s="1" t="s">
        <v>252</v>
      </c>
      <c r="P6" s="1" t="s">
        <v>246</v>
      </c>
      <c r="Q6" s="1" t="s">
        <v>256</v>
      </c>
      <c r="R6" s="3">
        <v>0.2</v>
      </c>
      <c r="S6" s="1" t="s">
        <v>241</v>
      </c>
      <c r="T6" s="2">
        <v>45821</v>
      </c>
    </row>
    <row r="7" spans="1:21" ht="15.6" x14ac:dyDescent="0.3">
      <c r="A7" s="1" t="s">
        <v>6</v>
      </c>
      <c r="B7" s="1" t="s">
        <v>120</v>
      </c>
      <c r="C7" s="1">
        <v>56</v>
      </c>
      <c r="D7" s="1" t="s">
        <v>107</v>
      </c>
      <c r="E7" s="1" t="s">
        <v>112</v>
      </c>
      <c r="F7" s="1" t="s">
        <v>113</v>
      </c>
      <c r="G7" s="1" t="s">
        <v>253</v>
      </c>
      <c r="H7" s="1" t="s">
        <v>257</v>
      </c>
      <c r="I7" s="1" t="s">
        <v>258</v>
      </c>
      <c r="J7" s="2">
        <v>45710</v>
      </c>
      <c r="K7" s="1">
        <v>4</v>
      </c>
      <c r="L7" s="1">
        <v>4032</v>
      </c>
      <c r="M7" s="1">
        <f t="shared" si="0"/>
        <v>16128</v>
      </c>
      <c r="N7" s="1" t="s">
        <v>259</v>
      </c>
      <c r="O7" s="1" t="s">
        <v>238</v>
      </c>
      <c r="P7" s="1" t="s">
        <v>246</v>
      </c>
      <c r="Q7" s="1" t="s">
        <v>247</v>
      </c>
      <c r="R7" s="3">
        <v>0.15</v>
      </c>
      <c r="S7" s="1" t="s">
        <v>241</v>
      </c>
      <c r="T7" s="2">
        <v>45755</v>
      </c>
    </row>
    <row r="8" spans="1:21" ht="15.6" x14ac:dyDescent="0.3">
      <c r="A8" s="1" t="s">
        <v>7</v>
      </c>
      <c r="B8" s="1" t="s">
        <v>121</v>
      </c>
      <c r="C8" s="1">
        <v>45</v>
      </c>
      <c r="D8" s="1" t="s">
        <v>107</v>
      </c>
      <c r="E8" s="1" t="s">
        <v>122</v>
      </c>
      <c r="F8" s="1" t="s">
        <v>109</v>
      </c>
      <c r="G8" s="1" t="s">
        <v>260</v>
      </c>
      <c r="H8" s="1" t="s">
        <v>257</v>
      </c>
      <c r="I8" s="1" t="s">
        <v>261</v>
      </c>
      <c r="J8" s="2">
        <v>46019</v>
      </c>
      <c r="K8" s="1">
        <v>1</v>
      </c>
      <c r="L8" s="1">
        <v>2013</v>
      </c>
      <c r="M8" s="1">
        <f t="shared" si="0"/>
        <v>2013</v>
      </c>
      <c r="N8" s="1" t="s">
        <v>251</v>
      </c>
      <c r="O8" s="1" t="s">
        <v>252</v>
      </c>
      <c r="P8" s="1" t="s">
        <v>239</v>
      </c>
      <c r="Q8" s="1" t="s">
        <v>247</v>
      </c>
      <c r="R8" s="3">
        <v>0.2</v>
      </c>
      <c r="S8" s="1" t="s">
        <v>262</v>
      </c>
      <c r="T8" s="2">
        <v>46078</v>
      </c>
    </row>
    <row r="9" spans="1:21" ht="15.6" x14ac:dyDescent="0.3">
      <c r="A9" s="1" t="s">
        <v>8</v>
      </c>
      <c r="B9" s="1" t="s">
        <v>123</v>
      </c>
      <c r="C9" s="1">
        <v>27</v>
      </c>
      <c r="D9" s="1" t="s">
        <v>107</v>
      </c>
      <c r="E9" s="1" t="s">
        <v>122</v>
      </c>
      <c r="F9" s="1" t="s">
        <v>109</v>
      </c>
      <c r="G9" s="1" t="s">
        <v>263</v>
      </c>
      <c r="H9" s="1" t="s">
        <v>254</v>
      </c>
      <c r="I9" s="1" t="s">
        <v>255</v>
      </c>
      <c r="J9" s="2">
        <v>46096</v>
      </c>
      <c r="K9" s="1">
        <v>5</v>
      </c>
      <c r="L9" s="1">
        <v>4849</v>
      </c>
      <c r="M9" s="1">
        <f t="shared" si="0"/>
        <v>24245</v>
      </c>
      <c r="N9" s="1" t="s">
        <v>251</v>
      </c>
      <c r="O9" s="1" t="s">
        <v>238</v>
      </c>
      <c r="P9" s="1" t="s">
        <v>264</v>
      </c>
      <c r="Q9" s="1" t="s">
        <v>247</v>
      </c>
      <c r="R9" s="3">
        <v>0.15</v>
      </c>
      <c r="S9" s="1" t="s">
        <v>241</v>
      </c>
      <c r="T9" s="2">
        <v>46112</v>
      </c>
    </row>
    <row r="10" spans="1:21" ht="15.6" x14ac:dyDescent="0.3">
      <c r="A10" s="1" t="s">
        <v>9</v>
      </c>
      <c r="B10" s="1" t="s">
        <v>124</v>
      </c>
      <c r="C10" s="1">
        <v>19</v>
      </c>
      <c r="D10" s="1" t="s">
        <v>111</v>
      </c>
      <c r="E10" s="1" t="s">
        <v>119</v>
      </c>
      <c r="F10" s="1" t="s">
        <v>109</v>
      </c>
      <c r="G10" s="1" t="s">
        <v>263</v>
      </c>
      <c r="H10" s="1" t="s">
        <v>235</v>
      </c>
      <c r="I10" s="1" t="s">
        <v>236</v>
      </c>
      <c r="J10" s="2">
        <v>45722</v>
      </c>
      <c r="K10" s="1">
        <v>5</v>
      </c>
      <c r="L10" s="1">
        <v>3063</v>
      </c>
      <c r="M10" s="1">
        <f t="shared" si="0"/>
        <v>15315</v>
      </c>
      <c r="N10" s="1" t="s">
        <v>237</v>
      </c>
      <c r="O10" s="1" t="s">
        <v>238</v>
      </c>
      <c r="P10" s="1" t="s">
        <v>246</v>
      </c>
      <c r="Q10" s="1" t="s">
        <v>247</v>
      </c>
      <c r="R10" s="3">
        <v>0.15</v>
      </c>
      <c r="S10" s="1" t="s">
        <v>248</v>
      </c>
      <c r="T10" s="2">
        <v>45769</v>
      </c>
    </row>
    <row r="11" spans="1:21" ht="15.6" x14ac:dyDescent="0.3">
      <c r="A11" s="1" t="s">
        <v>10</v>
      </c>
      <c r="B11" s="1" t="s">
        <v>125</v>
      </c>
      <c r="C11" s="1">
        <v>45</v>
      </c>
      <c r="D11" s="1" t="s">
        <v>107</v>
      </c>
      <c r="E11" s="1" t="s">
        <v>119</v>
      </c>
      <c r="F11" s="1" t="s">
        <v>109</v>
      </c>
      <c r="G11" s="1" t="s">
        <v>253</v>
      </c>
      <c r="H11" s="1" t="s">
        <v>265</v>
      </c>
      <c r="I11" s="1" t="s">
        <v>266</v>
      </c>
      <c r="J11" s="2">
        <v>45712</v>
      </c>
      <c r="K11" s="1">
        <v>5</v>
      </c>
      <c r="L11" s="1">
        <v>4485</v>
      </c>
      <c r="M11" s="1">
        <f t="shared" si="0"/>
        <v>22425</v>
      </c>
      <c r="N11" s="1" t="s">
        <v>245</v>
      </c>
      <c r="O11" s="1" t="s">
        <v>238</v>
      </c>
      <c r="P11" s="1" t="s">
        <v>246</v>
      </c>
      <c r="Q11" s="1" t="s">
        <v>247</v>
      </c>
      <c r="R11" s="3">
        <v>0.05</v>
      </c>
      <c r="S11" s="1" t="s">
        <v>241</v>
      </c>
      <c r="T11" s="2">
        <v>45809</v>
      </c>
    </row>
    <row r="12" spans="1:21" ht="15.6" x14ac:dyDescent="0.3">
      <c r="A12" s="1" t="s">
        <v>11</v>
      </c>
      <c r="B12" s="1" t="s">
        <v>126</v>
      </c>
      <c r="C12" s="1">
        <v>30</v>
      </c>
      <c r="D12" s="1" t="s">
        <v>107</v>
      </c>
      <c r="E12" s="1" t="s">
        <v>116</v>
      </c>
      <c r="F12" s="1" t="s">
        <v>117</v>
      </c>
      <c r="G12" s="1" t="s">
        <v>263</v>
      </c>
      <c r="H12" s="1" t="s">
        <v>254</v>
      </c>
      <c r="I12" s="1" t="s">
        <v>267</v>
      </c>
      <c r="J12" s="2">
        <v>46091</v>
      </c>
      <c r="K12" s="1">
        <v>1</v>
      </c>
      <c r="L12" s="1">
        <v>604</v>
      </c>
      <c r="M12" s="1">
        <f t="shared" si="0"/>
        <v>604</v>
      </c>
      <c r="N12" s="1" t="s">
        <v>251</v>
      </c>
      <c r="O12" s="1" t="s">
        <v>252</v>
      </c>
      <c r="P12" s="1" t="s">
        <v>246</v>
      </c>
      <c r="Q12" s="1" t="s">
        <v>247</v>
      </c>
      <c r="R12" s="3">
        <v>0.1</v>
      </c>
      <c r="S12" s="1" t="s">
        <v>248</v>
      </c>
      <c r="T12" s="2">
        <v>46185</v>
      </c>
    </row>
    <row r="13" spans="1:21" ht="15.6" x14ac:dyDescent="0.3">
      <c r="A13" s="1" t="s">
        <v>12</v>
      </c>
      <c r="B13" s="1" t="s">
        <v>127</v>
      </c>
      <c r="C13" s="1">
        <v>24</v>
      </c>
      <c r="D13" s="1" t="s">
        <v>111</v>
      </c>
      <c r="E13" s="1" t="s">
        <v>116</v>
      </c>
      <c r="F13" s="1" t="s">
        <v>117</v>
      </c>
      <c r="G13" s="1" t="s">
        <v>268</v>
      </c>
      <c r="H13" s="1" t="s">
        <v>257</v>
      </c>
      <c r="I13" s="1" t="s">
        <v>269</v>
      </c>
      <c r="J13" s="2">
        <v>46059</v>
      </c>
      <c r="K13" s="1">
        <v>2</v>
      </c>
      <c r="L13" s="1">
        <v>226</v>
      </c>
      <c r="M13" s="1">
        <f t="shared" si="0"/>
        <v>452</v>
      </c>
      <c r="N13" s="1" t="s">
        <v>237</v>
      </c>
      <c r="O13" s="1" t="s">
        <v>252</v>
      </c>
      <c r="P13" s="1" t="s">
        <v>264</v>
      </c>
      <c r="Q13" s="1" t="s">
        <v>256</v>
      </c>
      <c r="R13" s="3">
        <v>0</v>
      </c>
      <c r="S13" s="1" t="s">
        <v>262</v>
      </c>
      <c r="T13" s="2">
        <v>46155</v>
      </c>
    </row>
    <row r="14" spans="1:21" ht="15.6" x14ac:dyDescent="0.3">
      <c r="A14" s="1" t="s">
        <v>13</v>
      </c>
      <c r="B14" s="1" t="s">
        <v>128</v>
      </c>
      <c r="C14" s="1">
        <v>59</v>
      </c>
      <c r="D14" s="1" t="s">
        <v>107</v>
      </c>
      <c r="E14" s="1" t="s">
        <v>129</v>
      </c>
      <c r="F14" s="1" t="s">
        <v>117</v>
      </c>
      <c r="G14" s="1" t="s">
        <v>260</v>
      </c>
      <c r="H14" s="1" t="s">
        <v>235</v>
      </c>
      <c r="I14" s="1" t="s">
        <v>236</v>
      </c>
      <c r="J14" s="2">
        <v>45746</v>
      </c>
      <c r="K14" s="1">
        <v>4</v>
      </c>
      <c r="L14" s="1">
        <v>1329</v>
      </c>
      <c r="M14" s="1">
        <f t="shared" si="0"/>
        <v>5316</v>
      </c>
      <c r="N14" s="1" t="s">
        <v>245</v>
      </c>
      <c r="O14" s="1" t="s">
        <v>252</v>
      </c>
      <c r="P14" s="1" t="s">
        <v>264</v>
      </c>
      <c r="Q14" s="1" t="s">
        <v>247</v>
      </c>
      <c r="R14" s="3">
        <v>0.15</v>
      </c>
      <c r="S14" s="1" t="s">
        <v>248</v>
      </c>
      <c r="T14" s="2">
        <v>45863</v>
      </c>
    </row>
    <row r="15" spans="1:21" ht="15.6" x14ac:dyDescent="0.3">
      <c r="A15" s="1" t="s">
        <v>14</v>
      </c>
      <c r="B15" s="1" t="s">
        <v>130</v>
      </c>
      <c r="C15" s="1">
        <v>34</v>
      </c>
      <c r="D15" s="1" t="s">
        <v>111</v>
      </c>
      <c r="E15" s="1" t="s">
        <v>112</v>
      </c>
      <c r="F15" s="1" t="s">
        <v>113</v>
      </c>
      <c r="G15" s="1" t="s">
        <v>268</v>
      </c>
      <c r="H15" s="1" t="s">
        <v>265</v>
      </c>
      <c r="I15" s="1" t="s">
        <v>270</v>
      </c>
      <c r="J15" s="2">
        <v>45981</v>
      </c>
      <c r="K15" s="1">
        <v>5</v>
      </c>
      <c r="L15" s="1">
        <v>4698</v>
      </c>
      <c r="M15" s="1">
        <f t="shared" si="0"/>
        <v>23490</v>
      </c>
      <c r="N15" s="1" t="s">
        <v>251</v>
      </c>
      <c r="O15" s="1" t="s">
        <v>238</v>
      </c>
      <c r="P15" s="1" t="s">
        <v>239</v>
      </c>
      <c r="Q15" s="1" t="s">
        <v>256</v>
      </c>
      <c r="R15" s="3">
        <v>0.15</v>
      </c>
      <c r="S15" s="1" t="s">
        <v>248</v>
      </c>
      <c r="T15" s="2">
        <v>46012</v>
      </c>
    </row>
    <row r="16" spans="1:21" ht="15.6" x14ac:dyDescent="0.3">
      <c r="A16" s="1" t="s">
        <v>15</v>
      </c>
      <c r="B16" s="1" t="s">
        <v>131</v>
      </c>
      <c r="C16" s="1">
        <v>50</v>
      </c>
      <c r="D16" s="1" t="s">
        <v>111</v>
      </c>
      <c r="E16" s="1" t="s">
        <v>122</v>
      </c>
      <c r="F16" s="1" t="s">
        <v>109</v>
      </c>
      <c r="G16" s="1" t="s">
        <v>271</v>
      </c>
      <c r="H16" s="1" t="s">
        <v>235</v>
      </c>
      <c r="I16" s="1" t="s">
        <v>272</v>
      </c>
      <c r="J16" s="2">
        <v>46036</v>
      </c>
      <c r="K16" s="1">
        <v>3</v>
      </c>
      <c r="L16" s="1">
        <v>1149</v>
      </c>
      <c r="M16" s="1">
        <f t="shared" si="0"/>
        <v>3447</v>
      </c>
      <c r="N16" s="1" t="s">
        <v>259</v>
      </c>
      <c r="O16" s="1" t="s">
        <v>252</v>
      </c>
      <c r="P16" s="1" t="s">
        <v>239</v>
      </c>
      <c r="Q16" s="1" t="s">
        <v>256</v>
      </c>
      <c r="R16" s="3">
        <v>0.1</v>
      </c>
      <c r="S16" s="1" t="s">
        <v>241</v>
      </c>
      <c r="T16" s="2">
        <v>46068</v>
      </c>
    </row>
    <row r="17" spans="1:20" ht="15.6" x14ac:dyDescent="0.3">
      <c r="A17" s="1" t="s">
        <v>16</v>
      </c>
      <c r="B17" s="1" t="s">
        <v>132</v>
      </c>
      <c r="C17" s="1">
        <v>36</v>
      </c>
      <c r="D17" s="1" t="s">
        <v>107</v>
      </c>
      <c r="E17" s="1" t="s">
        <v>129</v>
      </c>
      <c r="F17" s="1" t="s">
        <v>117</v>
      </c>
      <c r="G17" s="1" t="s">
        <v>253</v>
      </c>
      <c r="H17" s="1" t="s">
        <v>254</v>
      </c>
      <c r="I17" s="1" t="s">
        <v>273</v>
      </c>
      <c r="J17" s="2">
        <v>46091</v>
      </c>
      <c r="K17" s="1">
        <v>3</v>
      </c>
      <c r="L17" s="1">
        <v>3525</v>
      </c>
      <c r="M17" s="1">
        <f t="shared" si="0"/>
        <v>10575</v>
      </c>
      <c r="N17" s="1" t="s">
        <v>251</v>
      </c>
      <c r="O17" s="1" t="s">
        <v>252</v>
      </c>
      <c r="P17" s="1" t="s">
        <v>239</v>
      </c>
      <c r="Q17" s="1" t="s">
        <v>240</v>
      </c>
      <c r="R17" s="3">
        <v>0.2</v>
      </c>
      <c r="S17" s="1" t="s">
        <v>262</v>
      </c>
      <c r="T17" s="2">
        <v>46138</v>
      </c>
    </row>
    <row r="18" spans="1:20" ht="15.6" x14ac:dyDescent="0.3">
      <c r="A18" s="1" t="s">
        <v>17</v>
      </c>
      <c r="B18" s="1" t="s">
        <v>133</v>
      </c>
      <c r="C18" s="1">
        <v>45</v>
      </c>
      <c r="D18" s="1" t="s">
        <v>111</v>
      </c>
      <c r="E18" s="1" t="s">
        <v>112</v>
      </c>
      <c r="F18" s="1" t="s">
        <v>113</v>
      </c>
      <c r="G18" s="1" t="s">
        <v>242</v>
      </c>
      <c r="H18" s="1" t="s">
        <v>235</v>
      </c>
      <c r="I18" s="1" t="s">
        <v>274</v>
      </c>
      <c r="J18" s="2">
        <v>46013</v>
      </c>
      <c r="K18" s="1">
        <v>2</v>
      </c>
      <c r="L18" s="1">
        <v>1364</v>
      </c>
      <c r="M18" s="1">
        <f t="shared" si="0"/>
        <v>2728</v>
      </c>
      <c r="N18" s="1" t="s">
        <v>245</v>
      </c>
      <c r="O18" s="1" t="s">
        <v>238</v>
      </c>
      <c r="P18" s="1" t="s">
        <v>264</v>
      </c>
      <c r="Q18" s="1" t="s">
        <v>247</v>
      </c>
      <c r="R18" s="3">
        <v>0</v>
      </c>
      <c r="S18" s="1" t="s">
        <v>248</v>
      </c>
      <c r="T18" s="2">
        <v>46061</v>
      </c>
    </row>
    <row r="19" spans="1:20" ht="15.6" x14ac:dyDescent="0.3">
      <c r="A19" s="1" t="s">
        <v>18</v>
      </c>
      <c r="B19" s="1" t="s">
        <v>134</v>
      </c>
      <c r="C19" s="1">
        <v>42</v>
      </c>
      <c r="D19" s="1" t="s">
        <v>111</v>
      </c>
      <c r="E19" s="1" t="s">
        <v>122</v>
      </c>
      <c r="F19" s="1" t="s">
        <v>109</v>
      </c>
      <c r="G19" s="1" t="s">
        <v>268</v>
      </c>
      <c r="H19" s="1" t="s">
        <v>235</v>
      </c>
      <c r="I19" s="1" t="s">
        <v>236</v>
      </c>
      <c r="J19" s="2">
        <v>45995</v>
      </c>
      <c r="K19" s="1">
        <v>4</v>
      </c>
      <c r="L19" s="1">
        <v>713</v>
      </c>
      <c r="M19" s="1">
        <f t="shared" si="0"/>
        <v>2852</v>
      </c>
      <c r="N19" s="1" t="s">
        <v>237</v>
      </c>
      <c r="O19" s="1" t="s">
        <v>238</v>
      </c>
      <c r="P19" s="1" t="s">
        <v>264</v>
      </c>
      <c r="Q19" s="1" t="s">
        <v>240</v>
      </c>
      <c r="R19" s="3">
        <v>0.1</v>
      </c>
      <c r="S19" s="1" t="s">
        <v>248</v>
      </c>
      <c r="T19" s="2">
        <v>46110</v>
      </c>
    </row>
    <row r="20" spans="1:20" ht="15.6" x14ac:dyDescent="0.3">
      <c r="A20" s="1" t="s">
        <v>19</v>
      </c>
      <c r="B20" s="1" t="s">
        <v>135</v>
      </c>
      <c r="C20" s="1">
        <v>24</v>
      </c>
      <c r="D20" s="1" t="s">
        <v>111</v>
      </c>
      <c r="E20" s="1" t="s">
        <v>122</v>
      </c>
      <c r="F20" s="1" t="s">
        <v>109</v>
      </c>
      <c r="G20" s="1" t="s">
        <v>263</v>
      </c>
      <c r="H20" s="1" t="s">
        <v>235</v>
      </c>
      <c r="I20" s="1" t="s">
        <v>274</v>
      </c>
      <c r="J20" s="2">
        <v>46020</v>
      </c>
      <c r="K20" s="1">
        <v>3</v>
      </c>
      <c r="L20" s="1">
        <v>4388</v>
      </c>
      <c r="M20" s="1">
        <f t="shared" si="0"/>
        <v>13164</v>
      </c>
      <c r="N20" s="1" t="s">
        <v>245</v>
      </c>
      <c r="O20" s="1" t="s">
        <v>238</v>
      </c>
      <c r="P20" s="1" t="s">
        <v>239</v>
      </c>
      <c r="Q20" s="1" t="s">
        <v>240</v>
      </c>
      <c r="R20" s="3">
        <v>0.2</v>
      </c>
      <c r="S20" s="1" t="s">
        <v>262</v>
      </c>
      <c r="T20" s="2">
        <v>46111</v>
      </c>
    </row>
    <row r="21" spans="1:20" ht="15.6" x14ac:dyDescent="0.3">
      <c r="A21" s="1" t="s">
        <v>20</v>
      </c>
      <c r="B21" s="1" t="s">
        <v>136</v>
      </c>
      <c r="C21" s="1">
        <v>53</v>
      </c>
      <c r="D21" s="1" t="s">
        <v>107</v>
      </c>
      <c r="E21" s="1" t="s">
        <v>108</v>
      </c>
      <c r="F21" s="1" t="s">
        <v>109</v>
      </c>
      <c r="G21" s="1" t="s">
        <v>271</v>
      </c>
      <c r="H21" s="1" t="s">
        <v>257</v>
      </c>
      <c r="I21" s="1" t="s">
        <v>258</v>
      </c>
      <c r="J21" s="2">
        <v>46043</v>
      </c>
      <c r="K21" s="1">
        <v>4</v>
      </c>
      <c r="L21" s="1">
        <v>1655</v>
      </c>
      <c r="M21" s="1">
        <f t="shared" si="0"/>
        <v>6620</v>
      </c>
      <c r="N21" s="1" t="s">
        <v>237</v>
      </c>
      <c r="O21" s="1" t="s">
        <v>238</v>
      </c>
      <c r="P21" s="1" t="s">
        <v>239</v>
      </c>
      <c r="Q21" s="1" t="s">
        <v>240</v>
      </c>
      <c r="R21" s="3">
        <v>0.05</v>
      </c>
      <c r="S21" s="1" t="s">
        <v>241</v>
      </c>
      <c r="T21" s="2">
        <v>46075</v>
      </c>
    </row>
    <row r="22" spans="1:20" ht="15.6" x14ac:dyDescent="0.3">
      <c r="A22" s="1" t="s">
        <v>21</v>
      </c>
      <c r="B22" s="1" t="s">
        <v>137</v>
      </c>
      <c r="C22" s="1">
        <v>23</v>
      </c>
      <c r="D22" s="1" t="s">
        <v>111</v>
      </c>
      <c r="E22" s="1" t="s">
        <v>138</v>
      </c>
      <c r="F22" s="1" t="s">
        <v>117</v>
      </c>
      <c r="G22" s="1" t="s">
        <v>249</v>
      </c>
      <c r="H22" s="1" t="s">
        <v>257</v>
      </c>
      <c r="I22" s="1" t="s">
        <v>258</v>
      </c>
      <c r="J22" s="2">
        <v>45939</v>
      </c>
      <c r="K22" s="1">
        <v>3</v>
      </c>
      <c r="L22" s="1">
        <v>1805</v>
      </c>
      <c r="M22" s="1">
        <f t="shared" si="0"/>
        <v>5415</v>
      </c>
      <c r="N22" s="1" t="s">
        <v>259</v>
      </c>
      <c r="O22" s="1" t="s">
        <v>252</v>
      </c>
      <c r="P22" s="1" t="s">
        <v>264</v>
      </c>
      <c r="Q22" s="1" t="s">
        <v>256</v>
      </c>
      <c r="R22" s="3">
        <v>0.05</v>
      </c>
      <c r="S22" s="1" t="s">
        <v>241</v>
      </c>
      <c r="T22" s="2">
        <v>45956</v>
      </c>
    </row>
    <row r="23" spans="1:20" ht="15.6" x14ac:dyDescent="0.3">
      <c r="A23" s="1" t="s">
        <v>22</v>
      </c>
      <c r="B23" s="1" t="s">
        <v>139</v>
      </c>
      <c r="C23" s="1">
        <v>58</v>
      </c>
      <c r="D23" s="1" t="s">
        <v>111</v>
      </c>
      <c r="E23" s="1" t="s">
        <v>116</v>
      </c>
      <c r="F23" s="1" t="s">
        <v>117</v>
      </c>
      <c r="G23" s="1" t="s">
        <v>253</v>
      </c>
      <c r="H23" s="1" t="s">
        <v>265</v>
      </c>
      <c r="I23" s="1" t="s">
        <v>275</v>
      </c>
      <c r="J23" s="2">
        <v>45865</v>
      </c>
      <c r="K23" s="1">
        <v>2</v>
      </c>
      <c r="L23" s="1">
        <v>4443</v>
      </c>
      <c r="M23" s="1">
        <f t="shared" si="0"/>
        <v>8886</v>
      </c>
      <c r="N23" s="1" t="s">
        <v>251</v>
      </c>
      <c r="O23" s="1" t="s">
        <v>252</v>
      </c>
      <c r="P23" s="1" t="s">
        <v>239</v>
      </c>
      <c r="Q23" s="1" t="s">
        <v>240</v>
      </c>
      <c r="R23" s="3">
        <v>0.15</v>
      </c>
      <c r="S23" s="1" t="s">
        <v>248</v>
      </c>
      <c r="T23" s="2">
        <v>45979</v>
      </c>
    </row>
    <row r="24" spans="1:20" ht="15.6" x14ac:dyDescent="0.3">
      <c r="A24" s="1" t="s">
        <v>23</v>
      </c>
      <c r="B24" s="1" t="s">
        <v>140</v>
      </c>
      <c r="C24" s="1">
        <v>41</v>
      </c>
      <c r="D24" s="1" t="s">
        <v>107</v>
      </c>
      <c r="E24" s="1" t="s">
        <v>122</v>
      </c>
      <c r="F24" s="1" t="s">
        <v>109</v>
      </c>
      <c r="G24" s="1" t="s">
        <v>253</v>
      </c>
      <c r="H24" s="1" t="s">
        <v>276</v>
      </c>
      <c r="I24" s="1" t="s">
        <v>277</v>
      </c>
      <c r="J24" s="2">
        <v>45999</v>
      </c>
      <c r="K24" s="1">
        <v>5</v>
      </c>
      <c r="L24" s="1">
        <v>3941</v>
      </c>
      <c r="M24" s="1">
        <f t="shared" si="0"/>
        <v>19705</v>
      </c>
      <c r="N24" s="1" t="s">
        <v>259</v>
      </c>
      <c r="O24" s="1" t="s">
        <v>238</v>
      </c>
      <c r="P24" s="1" t="s">
        <v>264</v>
      </c>
      <c r="Q24" s="1" t="s">
        <v>240</v>
      </c>
      <c r="R24" s="3">
        <v>0.15</v>
      </c>
      <c r="S24" s="1" t="s">
        <v>248</v>
      </c>
      <c r="T24" s="2">
        <v>46089</v>
      </c>
    </row>
    <row r="25" spans="1:20" ht="15.6" x14ac:dyDescent="0.3">
      <c r="A25" s="1" t="s">
        <v>24</v>
      </c>
      <c r="B25" s="1" t="s">
        <v>141</v>
      </c>
      <c r="C25" s="1">
        <v>53</v>
      </c>
      <c r="D25" s="1" t="s">
        <v>111</v>
      </c>
      <c r="E25" s="1" t="s">
        <v>129</v>
      </c>
      <c r="F25" s="1" t="s">
        <v>117</v>
      </c>
      <c r="G25" s="1" t="s">
        <v>263</v>
      </c>
      <c r="H25" s="1" t="s">
        <v>276</v>
      </c>
      <c r="I25" s="1" t="s">
        <v>278</v>
      </c>
      <c r="J25" s="2">
        <v>46079</v>
      </c>
      <c r="K25" s="1">
        <v>4</v>
      </c>
      <c r="L25" s="1">
        <v>2405</v>
      </c>
      <c r="M25" s="1">
        <f t="shared" si="0"/>
        <v>9620</v>
      </c>
      <c r="N25" s="1" t="s">
        <v>237</v>
      </c>
      <c r="O25" s="1" t="s">
        <v>252</v>
      </c>
      <c r="P25" s="1" t="s">
        <v>246</v>
      </c>
      <c r="Q25" s="1" t="s">
        <v>247</v>
      </c>
      <c r="R25" s="3">
        <v>0</v>
      </c>
      <c r="S25" s="1" t="s">
        <v>248</v>
      </c>
      <c r="T25" s="2">
        <v>46181</v>
      </c>
    </row>
    <row r="26" spans="1:20" ht="15.6" x14ac:dyDescent="0.3">
      <c r="A26" s="1" t="s">
        <v>25</v>
      </c>
      <c r="B26" s="1" t="s">
        <v>142</v>
      </c>
      <c r="C26" s="1">
        <v>53</v>
      </c>
      <c r="D26" s="1" t="s">
        <v>111</v>
      </c>
      <c r="E26" s="1" t="s">
        <v>122</v>
      </c>
      <c r="F26" s="1" t="s">
        <v>109</v>
      </c>
      <c r="G26" s="1" t="s">
        <v>268</v>
      </c>
      <c r="H26" s="1" t="s">
        <v>265</v>
      </c>
      <c r="I26" s="1" t="s">
        <v>275</v>
      </c>
      <c r="J26" s="2">
        <v>45705</v>
      </c>
      <c r="K26" s="1">
        <v>4</v>
      </c>
      <c r="L26" s="1">
        <v>3687</v>
      </c>
      <c r="M26" s="1">
        <f t="shared" si="0"/>
        <v>14748</v>
      </c>
      <c r="N26" s="1" t="s">
        <v>259</v>
      </c>
      <c r="O26" s="1" t="s">
        <v>238</v>
      </c>
      <c r="P26" s="1" t="s">
        <v>239</v>
      </c>
      <c r="Q26" s="1" t="s">
        <v>256</v>
      </c>
      <c r="R26" s="3">
        <v>0.05</v>
      </c>
      <c r="S26" s="1" t="s">
        <v>262</v>
      </c>
      <c r="T26" s="2">
        <v>45711</v>
      </c>
    </row>
    <row r="27" spans="1:20" ht="15.6" x14ac:dyDescent="0.3">
      <c r="A27" s="1" t="s">
        <v>26</v>
      </c>
      <c r="B27" s="1" t="s">
        <v>143</v>
      </c>
      <c r="C27" s="1">
        <v>25</v>
      </c>
      <c r="D27" s="1" t="s">
        <v>111</v>
      </c>
      <c r="E27" s="1" t="s">
        <v>144</v>
      </c>
      <c r="F27" s="1" t="s">
        <v>145</v>
      </c>
      <c r="G27" s="1" t="s">
        <v>263</v>
      </c>
      <c r="H27" s="1" t="s">
        <v>276</v>
      </c>
      <c r="I27" s="1" t="s">
        <v>278</v>
      </c>
      <c r="J27" s="2">
        <v>45835</v>
      </c>
      <c r="K27" s="1">
        <v>3</v>
      </c>
      <c r="L27" s="1">
        <v>2638</v>
      </c>
      <c r="M27" s="1">
        <f t="shared" si="0"/>
        <v>7914</v>
      </c>
      <c r="N27" s="1" t="s">
        <v>251</v>
      </c>
      <c r="O27" s="1" t="s">
        <v>252</v>
      </c>
      <c r="P27" s="1" t="s">
        <v>239</v>
      </c>
      <c r="Q27" s="1" t="s">
        <v>256</v>
      </c>
      <c r="R27" s="3">
        <v>0.15</v>
      </c>
      <c r="S27" s="1" t="s">
        <v>241</v>
      </c>
      <c r="T27" s="2">
        <v>45933</v>
      </c>
    </row>
    <row r="28" spans="1:20" ht="15.6" x14ac:dyDescent="0.3">
      <c r="A28" s="1" t="s">
        <v>27</v>
      </c>
      <c r="B28" s="1" t="s">
        <v>146</v>
      </c>
      <c r="C28" s="1">
        <v>34</v>
      </c>
      <c r="D28" s="1" t="s">
        <v>111</v>
      </c>
      <c r="E28" s="1" t="s">
        <v>108</v>
      </c>
      <c r="F28" s="1" t="s">
        <v>109</v>
      </c>
      <c r="G28" s="1" t="s">
        <v>249</v>
      </c>
      <c r="H28" s="1" t="s">
        <v>254</v>
      </c>
      <c r="I28" s="1" t="s">
        <v>255</v>
      </c>
      <c r="J28" s="2">
        <v>45688</v>
      </c>
      <c r="K28" s="1">
        <v>3</v>
      </c>
      <c r="L28" s="1">
        <v>1772</v>
      </c>
      <c r="M28" s="1">
        <f t="shared" si="0"/>
        <v>5316</v>
      </c>
      <c r="N28" s="1" t="s">
        <v>245</v>
      </c>
      <c r="O28" s="1" t="s">
        <v>252</v>
      </c>
      <c r="P28" s="1" t="s">
        <v>264</v>
      </c>
      <c r="Q28" s="1" t="s">
        <v>256</v>
      </c>
      <c r="R28" s="3">
        <v>0.1</v>
      </c>
      <c r="S28" s="1" t="s">
        <v>241</v>
      </c>
      <c r="T28" s="2">
        <v>45746</v>
      </c>
    </row>
    <row r="29" spans="1:20" ht="15.6" x14ac:dyDescent="0.3">
      <c r="A29" s="1" t="s">
        <v>28</v>
      </c>
      <c r="B29" s="1" t="s">
        <v>147</v>
      </c>
      <c r="C29" s="1">
        <v>32</v>
      </c>
      <c r="D29" s="1" t="s">
        <v>111</v>
      </c>
      <c r="E29" s="1" t="s">
        <v>138</v>
      </c>
      <c r="F29" s="1" t="s">
        <v>117</v>
      </c>
      <c r="G29" s="1" t="s">
        <v>271</v>
      </c>
      <c r="H29" s="1" t="s">
        <v>235</v>
      </c>
      <c r="I29" s="1" t="s">
        <v>279</v>
      </c>
      <c r="J29" s="2">
        <v>45862</v>
      </c>
      <c r="K29" s="1">
        <v>2</v>
      </c>
      <c r="L29" s="1">
        <v>3903</v>
      </c>
      <c r="M29" s="1">
        <f t="shared" si="0"/>
        <v>7806</v>
      </c>
      <c r="N29" s="1" t="s">
        <v>251</v>
      </c>
      <c r="O29" s="1" t="s">
        <v>238</v>
      </c>
      <c r="P29" s="1" t="s">
        <v>264</v>
      </c>
      <c r="Q29" s="1" t="s">
        <v>240</v>
      </c>
      <c r="R29" s="3">
        <v>0.1</v>
      </c>
      <c r="S29" s="1" t="s">
        <v>241</v>
      </c>
      <c r="T29" s="2">
        <v>45923</v>
      </c>
    </row>
    <row r="30" spans="1:20" ht="15.6" x14ac:dyDescent="0.3">
      <c r="A30" s="1" t="s">
        <v>29</v>
      </c>
      <c r="B30" s="1" t="s">
        <v>148</v>
      </c>
      <c r="C30" s="1">
        <v>49</v>
      </c>
      <c r="D30" s="1" t="s">
        <v>111</v>
      </c>
      <c r="E30" s="1" t="s">
        <v>119</v>
      </c>
      <c r="F30" s="1" t="s">
        <v>109</v>
      </c>
      <c r="G30" s="1" t="s">
        <v>253</v>
      </c>
      <c r="H30" s="1" t="s">
        <v>265</v>
      </c>
      <c r="I30" s="1" t="s">
        <v>280</v>
      </c>
      <c r="J30" s="2">
        <v>45928</v>
      </c>
      <c r="K30" s="1">
        <v>4</v>
      </c>
      <c r="L30" s="1">
        <v>1277</v>
      </c>
      <c r="M30" s="1">
        <f t="shared" si="0"/>
        <v>5108</v>
      </c>
      <c r="N30" s="1" t="s">
        <v>245</v>
      </c>
      <c r="O30" s="1" t="s">
        <v>252</v>
      </c>
      <c r="P30" s="1" t="s">
        <v>239</v>
      </c>
      <c r="Q30" s="1" t="s">
        <v>240</v>
      </c>
      <c r="R30" s="3">
        <v>0.2</v>
      </c>
      <c r="S30" s="1" t="s">
        <v>248</v>
      </c>
      <c r="T30" s="2">
        <v>45949</v>
      </c>
    </row>
    <row r="31" spans="1:20" ht="15.6" x14ac:dyDescent="0.3">
      <c r="A31" s="1" t="s">
        <v>30</v>
      </c>
      <c r="B31" s="1" t="s">
        <v>149</v>
      </c>
      <c r="C31" s="1">
        <v>57</v>
      </c>
      <c r="D31" s="1" t="s">
        <v>107</v>
      </c>
      <c r="E31" s="1" t="s">
        <v>138</v>
      </c>
      <c r="F31" s="1" t="s">
        <v>117</v>
      </c>
      <c r="G31" s="1" t="s">
        <v>260</v>
      </c>
      <c r="H31" s="1" t="s">
        <v>254</v>
      </c>
      <c r="I31" s="1" t="s">
        <v>267</v>
      </c>
      <c r="J31" s="2">
        <v>46072</v>
      </c>
      <c r="K31" s="1">
        <v>4</v>
      </c>
      <c r="L31" s="1">
        <v>4233</v>
      </c>
      <c r="M31" s="1">
        <f t="shared" si="0"/>
        <v>16932</v>
      </c>
      <c r="N31" s="1" t="s">
        <v>245</v>
      </c>
      <c r="O31" s="1" t="s">
        <v>252</v>
      </c>
      <c r="P31" s="1" t="s">
        <v>246</v>
      </c>
      <c r="Q31" s="1" t="s">
        <v>256</v>
      </c>
      <c r="R31" s="3">
        <v>0.1</v>
      </c>
      <c r="S31" s="1" t="s">
        <v>241</v>
      </c>
      <c r="T31" s="2">
        <v>46073</v>
      </c>
    </row>
    <row r="32" spans="1:20" ht="15.6" x14ac:dyDescent="0.3">
      <c r="A32" s="1" t="s">
        <v>31</v>
      </c>
      <c r="B32" s="1" t="s">
        <v>150</v>
      </c>
      <c r="C32" s="1">
        <v>44</v>
      </c>
      <c r="D32" s="1" t="s">
        <v>111</v>
      </c>
      <c r="E32" s="1" t="s">
        <v>122</v>
      </c>
      <c r="F32" s="1" t="s">
        <v>109</v>
      </c>
      <c r="G32" s="1" t="s">
        <v>271</v>
      </c>
      <c r="H32" s="1" t="s">
        <v>276</v>
      </c>
      <c r="I32" s="1" t="s">
        <v>278</v>
      </c>
      <c r="J32" s="2">
        <v>45683</v>
      </c>
      <c r="K32" s="1">
        <v>5</v>
      </c>
      <c r="L32" s="1">
        <v>1068</v>
      </c>
      <c r="M32" s="1">
        <f t="shared" si="0"/>
        <v>5340</v>
      </c>
      <c r="N32" s="1" t="s">
        <v>251</v>
      </c>
      <c r="O32" s="1" t="s">
        <v>252</v>
      </c>
      <c r="P32" s="1" t="s">
        <v>246</v>
      </c>
      <c r="Q32" s="1" t="s">
        <v>247</v>
      </c>
      <c r="R32" s="3">
        <v>0.2</v>
      </c>
      <c r="S32" s="1" t="s">
        <v>262</v>
      </c>
      <c r="T32" s="2">
        <v>45777</v>
      </c>
    </row>
    <row r="33" spans="1:20" ht="15.6" x14ac:dyDescent="0.3">
      <c r="A33" s="1" t="s">
        <v>32</v>
      </c>
      <c r="B33" s="1" t="s">
        <v>151</v>
      </c>
      <c r="C33" s="1">
        <v>24</v>
      </c>
      <c r="D33" s="1" t="s">
        <v>111</v>
      </c>
      <c r="E33" s="1" t="s">
        <v>119</v>
      </c>
      <c r="F33" s="1" t="s">
        <v>109</v>
      </c>
      <c r="G33" s="1" t="s">
        <v>253</v>
      </c>
      <c r="H33" s="1" t="s">
        <v>243</v>
      </c>
      <c r="I33" s="1" t="s">
        <v>281</v>
      </c>
      <c r="J33" s="2">
        <v>45974</v>
      </c>
      <c r="K33" s="1">
        <v>2</v>
      </c>
      <c r="L33" s="1">
        <v>4783</v>
      </c>
      <c r="M33" s="1">
        <f t="shared" si="0"/>
        <v>9566</v>
      </c>
      <c r="N33" s="1" t="s">
        <v>237</v>
      </c>
      <c r="O33" s="1" t="s">
        <v>252</v>
      </c>
      <c r="P33" s="1" t="s">
        <v>239</v>
      </c>
      <c r="Q33" s="1" t="s">
        <v>247</v>
      </c>
      <c r="R33" s="3">
        <v>0.2</v>
      </c>
      <c r="S33" s="1" t="s">
        <v>241</v>
      </c>
      <c r="T33" s="2">
        <v>46030</v>
      </c>
    </row>
    <row r="34" spans="1:20" ht="15.6" x14ac:dyDescent="0.3">
      <c r="A34" s="1" t="s">
        <v>33</v>
      </c>
      <c r="B34" s="1" t="s">
        <v>152</v>
      </c>
      <c r="C34" s="1">
        <v>53</v>
      </c>
      <c r="D34" s="1" t="s">
        <v>111</v>
      </c>
      <c r="E34" s="1" t="s">
        <v>112</v>
      </c>
      <c r="F34" s="1" t="s">
        <v>113</v>
      </c>
      <c r="G34" s="1" t="s">
        <v>234</v>
      </c>
      <c r="H34" s="1" t="s">
        <v>243</v>
      </c>
      <c r="I34" s="1" t="s">
        <v>250</v>
      </c>
      <c r="J34" s="2">
        <v>45708</v>
      </c>
      <c r="K34" s="1">
        <v>1</v>
      </c>
      <c r="L34" s="1">
        <v>3185</v>
      </c>
      <c r="M34" s="1">
        <f t="shared" si="0"/>
        <v>3185</v>
      </c>
      <c r="N34" s="1" t="s">
        <v>245</v>
      </c>
      <c r="O34" s="1" t="s">
        <v>252</v>
      </c>
      <c r="P34" s="1" t="s">
        <v>264</v>
      </c>
      <c r="Q34" s="1" t="s">
        <v>256</v>
      </c>
      <c r="R34" s="3">
        <v>0.1</v>
      </c>
      <c r="S34" s="1" t="s">
        <v>262</v>
      </c>
      <c r="T34" s="2">
        <v>45828</v>
      </c>
    </row>
    <row r="35" spans="1:20" ht="15.6" x14ac:dyDescent="0.3">
      <c r="A35" s="1" t="s">
        <v>34</v>
      </c>
      <c r="B35" s="1" t="s">
        <v>153</v>
      </c>
      <c r="C35" s="1">
        <v>52</v>
      </c>
      <c r="D35" s="1" t="s">
        <v>111</v>
      </c>
      <c r="E35" s="1" t="s">
        <v>138</v>
      </c>
      <c r="F35" s="1" t="s">
        <v>117</v>
      </c>
      <c r="G35" s="1" t="s">
        <v>260</v>
      </c>
      <c r="H35" s="1" t="s">
        <v>265</v>
      </c>
      <c r="I35" s="1" t="s">
        <v>275</v>
      </c>
      <c r="J35" s="2">
        <v>45747</v>
      </c>
      <c r="K35" s="1">
        <v>4</v>
      </c>
      <c r="L35" s="1">
        <v>4688</v>
      </c>
      <c r="M35" s="1">
        <f t="shared" si="0"/>
        <v>18752</v>
      </c>
      <c r="N35" s="1" t="s">
        <v>259</v>
      </c>
      <c r="O35" s="1" t="s">
        <v>238</v>
      </c>
      <c r="P35" s="1" t="s">
        <v>246</v>
      </c>
      <c r="Q35" s="1" t="s">
        <v>256</v>
      </c>
      <c r="R35" s="3">
        <v>0.15</v>
      </c>
      <c r="S35" s="1" t="s">
        <v>248</v>
      </c>
      <c r="T35" s="2">
        <v>45811</v>
      </c>
    </row>
    <row r="36" spans="1:20" ht="15.6" x14ac:dyDescent="0.3">
      <c r="A36" s="1" t="s">
        <v>35</v>
      </c>
      <c r="B36" s="1" t="s">
        <v>154</v>
      </c>
      <c r="C36" s="1">
        <v>35</v>
      </c>
      <c r="D36" s="1" t="s">
        <v>111</v>
      </c>
      <c r="E36" s="1" t="s">
        <v>138</v>
      </c>
      <c r="F36" s="1" t="s">
        <v>117</v>
      </c>
      <c r="G36" s="1" t="s">
        <v>268</v>
      </c>
      <c r="H36" s="1" t="s">
        <v>276</v>
      </c>
      <c r="I36" s="1" t="s">
        <v>277</v>
      </c>
      <c r="J36" s="2">
        <v>46064</v>
      </c>
      <c r="K36" s="1">
        <v>5</v>
      </c>
      <c r="L36" s="1">
        <v>4717</v>
      </c>
      <c r="M36" s="1">
        <f t="shared" si="0"/>
        <v>23585</v>
      </c>
      <c r="N36" s="1" t="s">
        <v>237</v>
      </c>
      <c r="O36" s="1" t="s">
        <v>238</v>
      </c>
      <c r="P36" s="1" t="s">
        <v>246</v>
      </c>
      <c r="Q36" s="1" t="s">
        <v>256</v>
      </c>
      <c r="R36" s="3">
        <v>0.2</v>
      </c>
      <c r="S36" s="1" t="s">
        <v>262</v>
      </c>
      <c r="T36" s="2">
        <v>46084</v>
      </c>
    </row>
    <row r="37" spans="1:20" ht="15.6" x14ac:dyDescent="0.3">
      <c r="A37" s="1" t="s">
        <v>36</v>
      </c>
      <c r="B37" s="1" t="s">
        <v>155</v>
      </c>
      <c r="C37" s="1">
        <v>40</v>
      </c>
      <c r="D37" s="1" t="s">
        <v>107</v>
      </c>
      <c r="E37" s="1" t="s">
        <v>138</v>
      </c>
      <c r="F37" s="1" t="s">
        <v>117</v>
      </c>
      <c r="G37" s="1" t="s">
        <v>268</v>
      </c>
      <c r="H37" s="1" t="s">
        <v>243</v>
      </c>
      <c r="I37" s="1" t="s">
        <v>282</v>
      </c>
      <c r="J37" s="2">
        <v>46031</v>
      </c>
      <c r="K37" s="1">
        <v>3</v>
      </c>
      <c r="L37" s="1">
        <v>1432</v>
      </c>
      <c r="M37" s="1">
        <f t="shared" si="0"/>
        <v>4296</v>
      </c>
      <c r="N37" s="1" t="s">
        <v>251</v>
      </c>
      <c r="O37" s="1" t="s">
        <v>252</v>
      </c>
      <c r="P37" s="1" t="s">
        <v>264</v>
      </c>
      <c r="Q37" s="1" t="s">
        <v>240</v>
      </c>
      <c r="R37" s="3">
        <v>0</v>
      </c>
      <c r="S37" s="1" t="s">
        <v>248</v>
      </c>
      <c r="T37" s="2">
        <v>46035</v>
      </c>
    </row>
    <row r="38" spans="1:20" ht="15.6" x14ac:dyDescent="0.3">
      <c r="A38" s="1" t="s">
        <v>37</v>
      </c>
      <c r="B38" s="1" t="s">
        <v>156</v>
      </c>
      <c r="C38" s="1">
        <v>55</v>
      </c>
      <c r="D38" s="1" t="s">
        <v>111</v>
      </c>
      <c r="E38" s="1" t="s">
        <v>119</v>
      </c>
      <c r="F38" s="1" t="s">
        <v>109</v>
      </c>
      <c r="G38" s="1" t="s">
        <v>253</v>
      </c>
      <c r="H38" s="1" t="s">
        <v>243</v>
      </c>
      <c r="I38" s="1" t="s">
        <v>281</v>
      </c>
      <c r="J38" s="2">
        <v>45728</v>
      </c>
      <c r="K38" s="1">
        <v>3</v>
      </c>
      <c r="L38" s="1">
        <v>1482</v>
      </c>
      <c r="M38" s="1">
        <f t="shared" si="0"/>
        <v>4446</v>
      </c>
      <c r="N38" s="1" t="s">
        <v>237</v>
      </c>
      <c r="O38" s="1" t="s">
        <v>252</v>
      </c>
      <c r="P38" s="1" t="s">
        <v>246</v>
      </c>
      <c r="Q38" s="1" t="s">
        <v>240</v>
      </c>
      <c r="R38" s="3">
        <v>0.15</v>
      </c>
      <c r="S38" s="1" t="s">
        <v>241</v>
      </c>
      <c r="T38" s="2">
        <v>45845</v>
      </c>
    </row>
    <row r="39" spans="1:20" ht="15.6" x14ac:dyDescent="0.3">
      <c r="A39" s="1" t="s">
        <v>38</v>
      </c>
      <c r="B39" s="1" t="s">
        <v>157</v>
      </c>
      <c r="C39" s="1">
        <v>32</v>
      </c>
      <c r="D39" s="1" t="s">
        <v>107</v>
      </c>
      <c r="E39" s="1" t="s">
        <v>119</v>
      </c>
      <c r="F39" s="1" t="s">
        <v>109</v>
      </c>
      <c r="G39" s="1" t="s">
        <v>242</v>
      </c>
      <c r="H39" s="1" t="s">
        <v>235</v>
      </c>
      <c r="I39" s="1" t="s">
        <v>272</v>
      </c>
      <c r="J39" s="2">
        <v>45817</v>
      </c>
      <c r="K39" s="1">
        <v>3</v>
      </c>
      <c r="L39" s="1">
        <v>524</v>
      </c>
      <c r="M39" s="1">
        <f t="shared" si="0"/>
        <v>1572</v>
      </c>
      <c r="N39" s="1" t="s">
        <v>245</v>
      </c>
      <c r="O39" s="1" t="s">
        <v>238</v>
      </c>
      <c r="P39" s="1" t="s">
        <v>239</v>
      </c>
      <c r="Q39" s="1" t="s">
        <v>247</v>
      </c>
      <c r="R39" s="3">
        <v>0.1</v>
      </c>
      <c r="S39" s="1" t="s">
        <v>241</v>
      </c>
      <c r="T39" s="2">
        <v>45890</v>
      </c>
    </row>
    <row r="40" spans="1:20" ht="15.6" x14ac:dyDescent="0.3">
      <c r="A40" s="1" t="s">
        <v>39</v>
      </c>
      <c r="B40" s="1" t="s">
        <v>158</v>
      </c>
      <c r="C40" s="1">
        <v>54</v>
      </c>
      <c r="D40" s="1" t="s">
        <v>107</v>
      </c>
      <c r="E40" s="1" t="s">
        <v>119</v>
      </c>
      <c r="F40" s="1" t="s">
        <v>109</v>
      </c>
      <c r="G40" s="1" t="s">
        <v>253</v>
      </c>
      <c r="H40" s="1" t="s">
        <v>257</v>
      </c>
      <c r="I40" s="1" t="s">
        <v>258</v>
      </c>
      <c r="J40" s="2">
        <v>45694</v>
      </c>
      <c r="K40" s="1">
        <v>1</v>
      </c>
      <c r="L40" s="1">
        <v>2254</v>
      </c>
      <c r="M40" s="1">
        <f t="shared" si="0"/>
        <v>2254</v>
      </c>
      <c r="N40" s="1" t="s">
        <v>237</v>
      </c>
      <c r="O40" s="1" t="s">
        <v>252</v>
      </c>
      <c r="P40" s="1" t="s">
        <v>246</v>
      </c>
      <c r="Q40" s="1" t="s">
        <v>256</v>
      </c>
      <c r="R40" s="3">
        <v>0.15</v>
      </c>
      <c r="S40" s="1" t="s">
        <v>262</v>
      </c>
      <c r="T40" s="2">
        <v>45738</v>
      </c>
    </row>
    <row r="41" spans="1:20" ht="15.6" x14ac:dyDescent="0.3">
      <c r="A41" s="1" t="s">
        <v>40</v>
      </c>
      <c r="B41" s="1" t="s">
        <v>159</v>
      </c>
      <c r="C41" s="1">
        <v>40</v>
      </c>
      <c r="D41" s="1" t="s">
        <v>107</v>
      </c>
      <c r="E41" s="1" t="s">
        <v>138</v>
      </c>
      <c r="F41" s="1" t="s">
        <v>117</v>
      </c>
      <c r="G41" s="1" t="s">
        <v>271</v>
      </c>
      <c r="H41" s="1" t="s">
        <v>257</v>
      </c>
      <c r="I41" s="1" t="s">
        <v>269</v>
      </c>
      <c r="J41" s="2">
        <v>45755</v>
      </c>
      <c r="K41" s="1">
        <v>4</v>
      </c>
      <c r="L41" s="1">
        <v>4441</v>
      </c>
      <c r="M41" s="1">
        <f t="shared" si="0"/>
        <v>17764</v>
      </c>
      <c r="N41" s="1" t="s">
        <v>237</v>
      </c>
      <c r="O41" s="1" t="s">
        <v>252</v>
      </c>
      <c r="P41" s="1" t="s">
        <v>239</v>
      </c>
      <c r="Q41" s="1" t="s">
        <v>240</v>
      </c>
      <c r="R41" s="3">
        <v>0.1</v>
      </c>
      <c r="S41" s="1" t="s">
        <v>248</v>
      </c>
      <c r="T41" s="2">
        <v>45832</v>
      </c>
    </row>
    <row r="42" spans="1:20" ht="15.6" x14ac:dyDescent="0.3">
      <c r="A42" s="1" t="s">
        <v>41</v>
      </c>
      <c r="B42" s="1" t="s">
        <v>160</v>
      </c>
      <c r="C42" s="1">
        <v>55</v>
      </c>
      <c r="D42" s="1" t="s">
        <v>111</v>
      </c>
      <c r="E42" s="1" t="s">
        <v>129</v>
      </c>
      <c r="F42" s="1" t="s">
        <v>117</v>
      </c>
      <c r="G42" s="1" t="s">
        <v>260</v>
      </c>
      <c r="H42" s="1" t="s">
        <v>235</v>
      </c>
      <c r="I42" s="1" t="s">
        <v>236</v>
      </c>
      <c r="J42" s="2">
        <v>46056</v>
      </c>
      <c r="K42" s="1">
        <v>1</v>
      </c>
      <c r="L42" s="1">
        <v>3874</v>
      </c>
      <c r="M42" s="1">
        <f t="shared" si="0"/>
        <v>3874</v>
      </c>
      <c r="N42" s="1" t="s">
        <v>259</v>
      </c>
      <c r="O42" s="1" t="s">
        <v>238</v>
      </c>
      <c r="P42" s="1" t="s">
        <v>264</v>
      </c>
      <c r="Q42" s="1" t="s">
        <v>240</v>
      </c>
      <c r="R42" s="3">
        <v>0.05</v>
      </c>
      <c r="S42" s="1" t="s">
        <v>241</v>
      </c>
      <c r="T42" s="2">
        <v>46075</v>
      </c>
    </row>
    <row r="43" spans="1:20" ht="15.6" x14ac:dyDescent="0.3">
      <c r="A43" s="1" t="s">
        <v>42</v>
      </c>
      <c r="B43" s="1" t="s">
        <v>161</v>
      </c>
      <c r="C43" s="1">
        <v>35</v>
      </c>
      <c r="D43" s="1" t="s">
        <v>111</v>
      </c>
      <c r="E43" s="1" t="s">
        <v>108</v>
      </c>
      <c r="F43" s="1" t="s">
        <v>109</v>
      </c>
      <c r="G43" s="1" t="s">
        <v>253</v>
      </c>
      <c r="H43" s="1" t="s">
        <v>254</v>
      </c>
      <c r="I43" s="1" t="s">
        <v>283</v>
      </c>
      <c r="J43" s="2">
        <v>46157</v>
      </c>
      <c r="K43" s="1">
        <v>1</v>
      </c>
      <c r="L43" s="1">
        <v>3675</v>
      </c>
      <c r="M43" s="1">
        <f t="shared" si="0"/>
        <v>3675</v>
      </c>
      <c r="N43" s="1" t="s">
        <v>259</v>
      </c>
      <c r="O43" s="1" t="s">
        <v>238</v>
      </c>
      <c r="P43" s="1" t="s">
        <v>239</v>
      </c>
      <c r="Q43" s="1" t="s">
        <v>247</v>
      </c>
      <c r="R43" s="3">
        <v>0.2</v>
      </c>
      <c r="S43" s="1" t="s">
        <v>241</v>
      </c>
      <c r="T43" s="2">
        <v>46189</v>
      </c>
    </row>
    <row r="44" spans="1:20" ht="15.6" x14ac:dyDescent="0.3">
      <c r="A44" s="1" t="s">
        <v>43</v>
      </c>
      <c r="B44" s="1" t="s">
        <v>162</v>
      </c>
      <c r="C44" s="1">
        <v>49</v>
      </c>
      <c r="D44" s="1" t="s">
        <v>111</v>
      </c>
      <c r="E44" s="1" t="s">
        <v>119</v>
      </c>
      <c r="F44" s="1" t="s">
        <v>109</v>
      </c>
      <c r="G44" s="1" t="s">
        <v>268</v>
      </c>
      <c r="H44" s="1" t="s">
        <v>254</v>
      </c>
      <c r="I44" s="1" t="s">
        <v>273</v>
      </c>
      <c r="J44" s="2">
        <v>46129</v>
      </c>
      <c r="K44" s="1">
        <v>1</v>
      </c>
      <c r="L44" s="1">
        <v>1154</v>
      </c>
      <c r="M44" s="1">
        <f t="shared" si="0"/>
        <v>1154</v>
      </c>
      <c r="N44" s="1" t="s">
        <v>251</v>
      </c>
      <c r="O44" s="1" t="s">
        <v>252</v>
      </c>
      <c r="P44" s="1" t="s">
        <v>239</v>
      </c>
      <c r="Q44" s="1" t="s">
        <v>247</v>
      </c>
      <c r="R44" s="3">
        <v>0.05</v>
      </c>
      <c r="S44" s="1" t="s">
        <v>241</v>
      </c>
      <c r="T44" s="2">
        <v>46131</v>
      </c>
    </row>
    <row r="45" spans="1:20" ht="15.6" x14ac:dyDescent="0.3">
      <c r="A45" s="1" t="s">
        <v>44</v>
      </c>
      <c r="B45" s="1" t="s">
        <v>163</v>
      </c>
      <c r="C45" s="1">
        <v>60</v>
      </c>
      <c r="D45" s="1" t="s">
        <v>107</v>
      </c>
      <c r="E45" s="1" t="s">
        <v>112</v>
      </c>
      <c r="F45" s="1" t="s">
        <v>113</v>
      </c>
      <c r="G45" s="1" t="s">
        <v>249</v>
      </c>
      <c r="H45" s="1" t="s">
        <v>257</v>
      </c>
      <c r="I45" s="1" t="s">
        <v>258</v>
      </c>
      <c r="J45" s="2">
        <v>45873</v>
      </c>
      <c r="K45" s="1">
        <v>2</v>
      </c>
      <c r="L45" s="1">
        <v>4131</v>
      </c>
      <c r="M45" s="1">
        <f t="shared" si="0"/>
        <v>8262</v>
      </c>
      <c r="N45" s="1" t="s">
        <v>245</v>
      </c>
      <c r="O45" s="1" t="s">
        <v>238</v>
      </c>
      <c r="P45" s="1" t="s">
        <v>239</v>
      </c>
      <c r="Q45" s="1" t="s">
        <v>240</v>
      </c>
      <c r="R45" s="3">
        <v>0</v>
      </c>
      <c r="S45" s="1" t="s">
        <v>248</v>
      </c>
      <c r="T45" s="2">
        <v>45907</v>
      </c>
    </row>
    <row r="46" spans="1:20" ht="15.6" x14ac:dyDescent="0.3">
      <c r="A46" s="1" t="s">
        <v>45</v>
      </c>
      <c r="B46" s="1" t="s">
        <v>164</v>
      </c>
      <c r="C46" s="1">
        <v>33</v>
      </c>
      <c r="D46" s="1" t="s">
        <v>107</v>
      </c>
      <c r="E46" s="1" t="s">
        <v>108</v>
      </c>
      <c r="F46" s="1" t="s">
        <v>109</v>
      </c>
      <c r="G46" s="1" t="s">
        <v>253</v>
      </c>
      <c r="H46" s="1" t="s">
        <v>257</v>
      </c>
      <c r="I46" s="1" t="s">
        <v>261</v>
      </c>
      <c r="J46" s="2">
        <v>45754</v>
      </c>
      <c r="K46" s="1">
        <v>3</v>
      </c>
      <c r="L46" s="1">
        <v>1737</v>
      </c>
      <c r="M46" s="1">
        <f t="shared" si="0"/>
        <v>5211</v>
      </c>
      <c r="N46" s="1" t="s">
        <v>251</v>
      </c>
      <c r="O46" s="1" t="s">
        <v>252</v>
      </c>
      <c r="P46" s="1" t="s">
        <v>246</v>
      </c>
      <c r="Q46" s="1" t="s">
        <v>247</v>
      </c>
      <c r="R46" s="3">
        <v>0.05</v>
      </c>
      <c r="S46" s="1" t="s">
        <v>248</v>
      </c>
      <c r="T46" s="2">
        <v>45797</v>
      </c>
    </row>
    <row r="47" spans="1:20" ht="15.6" x14ac:dyDescent="0.3">
      <c r="A47" s="1" t="s">
        <v>46</v>
      </c>
      <c r="B47" s="1" t="s">
        <v>165</v>
      </c>
      <c r="C47" s="1">
        <v>53</v>
      </c>
      <c r="D47" s="1" t="s">
        <v>111</v>
      </c>
      <c r="E47" s="1" t="s">
        <v>144</v>
      </c>
      <c r="F47" s="1" t="s">
        <v>145</v>
      </c>
      <c r="G47" s="1" t="s">
        <v>242</v>
      </c>
      <c r="H47" s="1" t="s">
        <v>265</v>
      </c>
      <c r="I47" s="1" t="s">
        <v>270</v>
      </c>
      <c r="J47" s="2">
        <v>45899</v>
      </c>
      <c r="K47" s="1">
        <v>4</v>
      </c>
      <c r="L47" s="1">
        <v>3917</v>
      </c>
      <c r="M47" s="1">
        <f t="shared" si="0"/>
        <v>15668</v>
      </c>
      <c r="N47" s="1" t="s">
        <v>251</v>
      </c>
      <c r="O47" s="1" t="s">
        <v>238</v>
      </c>
      <c r="P47" s="1" t="s">
        <v>239</v>
      </c>
      <c r="Q47" s="1" t="s">
        <v>247</v>
      </c>
      <c r="R47" s="3">
        <v>0.05</v>
      </c>
      <c r="S47" s="1" t="s">
        <v>241</v>
      </c>
      <c r="T47" s="2">
        <v>46001</v>
      </c>
    </row>
    <row r="48" spans="1:20" ht="15.6" x14ac:dyDescent="0.3">
      <c r="A48" s="1" t="s">
        <v>47</v>
      </c>
      <c r="B48" s="1" t="s">
        <v>166</v>
      </c>
      <c r="C48" s="1">
        <v>25</v>
      </c>
      <c r="D48" s="1" t="s">
        <v>107</v>
      </c>
      <c r="E48" s="1" t="s">
        <v>122</v>
      </c>
      <c r="F48" s="1" t="s">
        <v>109</v>
      </c>
      <c r="G48" s="1" t="s">
        <v>253</v>
      </c>
      <c r="H48" s="1" t="s">
        <v>265</v>
      </c>
      <c r="I48" s="1" t="s">
        <v>270</v>
      </c>
      <c r="J48" s="2">
        <v>45772</v>
      </c>
      <c r="K48" s="1">
        <v>2</v>
      </c>
      <c r="L48" s="1">
        <v>914</v>
      </c>
      <c r="M48" s="1">
        <f t="shared" si="0"/>
        <v>1828</v>
      </c>
      <c r="N48" s="1" t="s">
        <v>237</v>
      </c>
      <c r="O48" s="1" t="s">
        <v>238</v>
      </c>
      <c r="P48" s="1" t="s">
        <v>239</v>
      </c>
      <c r="Q48" s="1" t="s">
        <v>240</v>
      </c>
      <c r="R48" s="3">
        <v>0.15</v>
      </c>
      <c r="S48" s="1" t="s">
        <v>262</v>
      </c>
      <c r="T48" s="2">
        <v>45820</v>
      </c>
    </row>
    <row r="49" spans="1:20" ht="15.6" x14ac:dyDescent="0.3">
      <c r="A49" s="1" t="s">
        <v>48</v>
      </c>
      <c r="B49" s="1" t="s">
        <v>167</v>
      </c>
      <c r="C49" s="1">
        <v>23</v>
      </c>
      <c r="D49" s="1" t="s">
        <v>107</v>
      </c>
      <c r="E49" s="1" t="s">
        <v>108</v>
      </c>
      <c r="F49" s="1" t="s">
        <v>109</v>
      </c>
      <c r="G49" s="1" t="s">
        <v>260</v>
      </c>
      <c r="H49" s="1" t="s">
        <v>243</v>
      </c>
      <c r="I49" s="1" t="s">
        <v>244</v>
      </c>
      <c r="J49" s="2">
        <v>45725</v>
      </c>
      <c r="K49" s="1">
        <v>1</v>
      </c>
      <c r="L49" s="1">
        <v>4680</v>
      </c>
      <c r="M49" s="1">
        <f t="shared" si="0"/>
        <v>4680</v>
      </c>
      <c r="N49" s="1" t="s">
        <v>259</v>
      </c>
      <c r="O49" s="1" t="s">
        <v>252</v>
      </c>
      <c r="P49" s="1" t="s">
        <v>239</v>
      </c>
      <c r="Q49" s="1" t="s">
        <v>240</v>
      </c>
      <c r="R49" s="3">
        <v>0.05</v>
      </c>
      <c r="S49" s="1" t="s">
        <v>248</v>
      </c>
      <c r="T49" s="2">
        <v>45812</v>
      </c>
    </row>
    <row r="50" spans="1:20" ht="15.6" x14ac:dyDescent="0.3">
      <c r="A50" s="1" t="s">
        <v>49</v>
      </c>
      <c r="B50" s="1" t="s">
        <v>168</v>
      </c>
      <c r="C50" s="1">
        <v>40</v>
      </c>
      <c r="D50" s="1" t="s">
        <v>111</v>
      </c>
      <c r="E50" s="1" t="s">
        <v>108</v>
      </c>
      <c r="F50" s="1" t="s">
        <v>109</v>
      </c>
      <c r="G50" s="1" t="s">
        <v>249</v>
      </c>
      <c r="H50" s="1" t="s">
        <v>235</v>
      </c>
      <c r="I50" s="1" t="s">
        <v>272</v>
      </c>
      <c r="J50" s="2">
        <v>45825</v>
      </c>
      <c r="K50" s="1">
        <v>5</v>
      </c>
      <c r="L50" s="1">
        <v>3025</v>
      </c>
      <c r="M50" s="1">
        <f t="shared" si="0"/>
        <v>15125</v>
      </c>
      <c r="N50" s="1" t="s">
        <v>237</v>
      </c>
      <c r="O50" s="1" t="s">
        <v>252</v>
      </c>
      <c r="P50" s="1" t="s">
        <v>239</v>
      </c>
      <c r="Q50" s="1" t="s">
        <v>256</v>
      </c>
      <c r="R50" s="3">
        <v>0.05</v>
      </c>
      <c r="S50" s="1" t="s">
        <v>241</v>
      </c>
      <c r="T50" s="2">
        <v>45830</v>
      </c>
    </row>
    <row r="51" spans="1:20" ht="15.6" x14ac:dyDescent="0.3">
      <c r="A51" s="1" t="s">
        <v>50</v>
      </c>
      <c r="B51" s="1" t="s">
        <v>169</v>
      </c>
      <c r="C51" s="1">
        <v>58</v>
      </c>
      <c r="D51" s="1" t="s">
        <v>111</v>
      </c>
      <c r="E51" s="1" t="s">
        <v>138</v>
      </c>
      <c r="F51" s="1" t="s">
        <v>117</v>
      </c>
      <c r="G51" s="1" t="s">
        <v>268</v>
      </c>
      <c r="H51" s="1" t="s">
        <v>235</v>
      </c>
      <c r="I51" s="1" t="s">
        <v>236</v>
      </c>
      <c r="J51" s="2">
        <v>45862</v>
      </c>
      <c r="K51" s="1">
        <v>4</v>
      </c>
      <c r="L51" s="1">
        <v>1172</v>
      </c>
      <c r="M51" s="1">
        <f t="shared" si="0"/>
        <v>4688</v>
      </c>
      <c r="N51" s="1" t="s">
        <v>245</v>
      </c>
      <c r="O51" s="1" t="s">
        <v>252</v>
      </c>
      <c r="P51" s="1" t="s">
        <v>239</v>
      </c>
      <c r="Q51" s="1" t="s">
        <v>247</v>
      </c>
      <c r="R51" s="3">
        <v>0.15</v>
      </c>
      <c r="S51" s="1" t="s">
        <v>262</v>
      </c>
      <c r="T51" s="2">
        <v>45869</v>
      </c>
    </row>
    <row r="52" spans="1:20" ht="15.6" x14ac:dyDescent="0.3">
      <c r="A52" s="1" t="s">
        <v>51</v>
      </c>
      <c r="B52" s="1" t="s">
        <v>170</v>
      </c>
      <c r="C52" s="1">
        <v>49</v>
      </c>
      <c r="D52" s="1" t="s">
        <v>111</v>
      </c>
      <c r="E52" s="1" t="s">
        <v>122</v>
      </c>
      <c r="F52" s="1" t="s">
        <v>109</v>
      </c>
      <c r="G52" s="1" t="s">
        <v>268</v>
      </c>
      <c r="H52" s="1" t="s">
        <v>265</v>
      </c>
      <c r="I52" s="1" t="s">
        <v>280</v>
      </c>
      <c r="J52" s="2">
        <v>46052</v>
      </c>
      <c r="K52" s="1">
        <v>4</v>
      </c>
      <c r="L52" s="1">
        <v>4245</v>
      </c>
      <c r="M52" s="1">
        <f t="shared" si="0"/>
        <v>16980</v>
      </c>
      <c r="N52" s="1" t="s">
        <v>251</v>
      </c>
      <c r="O52" s="1" t="s">
        <v>252</v>
      </c>
      <c r="P52" s="1" t="s">
        <v>246</v>
      </c>
      <c r="Q52" s="1" t="s">
        <v>256</v>
      </c>
      <c r="R52" s="3">
        <v>0.2</v>
      </c>
      <c r="S52" s="1" t="s">
        <v>241</v>
      </c>
      <c r="T52" s="2">
        <v>46149</v>
      </c>
    </row>
    <row r="53" spans="1:20" ht="15.6" x14ac:dyDescent="0.3">
      <c r="A53" s="1" t="s">
        <v>52</v>
      </c>
      <c r="B53" s="1" t="s">
        <v>171</v>
      </c>
      <c r="C53" s="1">
        <v>37</v>
      </c>
      <c r="D53" s="1" t="s">
        <v>111</v>
      </c>
      <c r="E53" s="1" t="s">
        <v>122</v>
      </c>
      <c r="F53" s="1" t="s">
        <v>109</v>
      </c>
      <c r="G53" s="1" t="s">
        <v>263</v>
      </c>
      <c r="H53" s="1" t="s">
        <v>235</v>
      </c>
      <c r="I53" s="1" t="s">
        <v>272</v>
      </c>
      <c r="J53" s="2">
        <v>46143</v>
      </c>
      <c r="K53" s="1">
        <v>2</v>
      </c>
      <c r="L53" s="1">
        <v>4656</v>
      </c>
      <c r="M53" s="1">
        <f t="shared" si="0"/>
        <v>9312</v>
      </c>
      <c r="N53" s="1" t="s">
        <v>245</v>
      </c>
      <c r="O53" s="1" t="s">
        <v>238</v>
      </c>
      <c r="P53" s="1" t="s">
        <v>246</v>
      </c>
      <c r="Q53" s="1" t="s">
        <v>240</v>
      </c>
      <c r="R53" s="3">
        <v>0</v>
      </c>
      <c r="S53" s="1" t="s">
        <v>241</v>
      </c>
      <c r="T53" s="2">
        <v>46165</v>
      </c>
    </row>
    <row r="54" spans="1:20" ht="15.6" x14ac:dyDescent="0.3">
      <c r="A54" s="1" t="s">
        <v>53</v>
      </c>
      <c r="B54" s="1" t="s">
        <v>172</v>
      </c>
      <c r="C54" s="1">
        <v>40</v>
      </c>
      <c r="D54" s="1" t="s">
        <v>111</v>
      </c>
      <c r="E54" s="1" t="s">
        <v>138</v>
      </c>
      <c r="F54" s="1" t="s">
        <v>117</v>
      </c>
      <c r="G54" s="1" t="s">
        <v>242</v>
      </c>
      <c r="H54" s="1" t="s">
        <v>254</v>
      </c>
      <c r="I54" s="1" t="s">
        <v>267</v>
      </c>
      <c r="J54" s="2">
        <v>45819</v>
      </c>
      <c r="K54" s="1">
        <v>2</v>
      </c>
      <c r="L54" s="1">
        <v>3162</v>
      </c>
      <c r="M54" s="1">
        <f t="shared" si="0"/>
        <v>6324</v>
      </c>
      <c r="N54" s="1" t="s">
        <v>251</v>
      </c>
      <c r="O54" s="1" t="s">
        <v>238</v>
      </c>
      <c r="P54" s="1" t="s">
        <v>264</v>
      </c>
      <c r="Q54" s="1" t="s">
        <v>256</v>
      </c>
      <c r="R54" s="3">
        <v>0.1</v>
      </c>
      <c r="S54" s="1" t="s">
        <v>262</v>
      </c>
      <c r="T54" s="2">
        <v>45903</v>
      </c>
    </row>
    <row r="55" spans="1:20" ht="15.6" x14ac:dyDescent="0.3">
      <c r="A55" s="1" t="s">
        <v>54</v>
      </c>
      <c r="B55" s="1" t="s">
        <v>173</v>
      </c>
      <c r="C55" s="1">
        <v>30</v>
      </c>
      <c r="D55" s="1" t="s">
        <v>107</v>
      </c>
      <c r="E55" s="1" t="s">
        <v>129</v>
      </c>
      <c r="F55" s="1" t="s">
        <v>117</v>
      </c>
      <c r="G55" s="1" t="s">
        <v>268</v>
      </c>
      <c r="H55" s="1" t="s">
        <v>243</v>
      </c>
      <c r="I55" s="1" t="s">
        <v>282</v>
      </c>
      <c r="J55" s="2">
        <v>45910</v>
      </c>
      <c r="K55" s="1">
        <v>3</v>
      </c>
      <c r="L55" s="1">
        <v>2075</v>
      </c>
      <c r="M55" s="1">
        <f t="shared" si="0"/>
        <v>6225</v>
      </c>
      <c r="N55" s="1" t="s">
        <v>259</v>
      </c>
      <c r="O55" s="1" t="s">
        <v>252</v>
      </c>
      <c r="P55" s="1" t="s">
        <v>264</v>
      </c>
      <c r="Q55" s="1" t="s">
        <v>240</v>
      </c>
      <c r="R55" s="3">
        <v>0.1</v>
      </c>
      <c r="S55" s="1" t="s">
        <v>241</v>
      </c>
      <c r="T55" s="2">
        <v>45950</v>
      </c>
    </row>
    <row r="56" spans="1:20" ht="15.6" x14ac:dyDescent="0.3">
      <c r="A56" s="1" t="s">
        <v>55</v>
      </c>
      <c r="B56" s="1" t="s">
        <v>174</v>
      </c>
      <c r="C56" s="1">
        <v>39</v>
      </c>
      <c r="D56" s="1" t="s">
        <v>111</v>
      </c>
      <c r="E56" s="1" t="s">
        <v>144</v>
      </c>
      <c r="F56" s="1" t="s">
        <v>145</v>
      </c>
      <c r="G56" s="1" t="s">
        <v>253</v>
      </c>
      <c r="H56" s="1" t="s">
        <v>243</v>
      </c>
      <c r="I56" s="1" t="s">
        <v>281</v>
      </c>
      <c r="J56" s="2">
        <v>46005</v>
      </c>
      <c r="K56" s="1">
        <v>2</v>
      </c>
      <c r="L56" s="1">
        <v>3769</v>
      </c>
      <c r="M56" s="1">
        <f t="shared" si="0"/>
        <v>7538</v>
      </c>
      <c r="N56" s="1" t="s">
        <v>237</v>
      </c>
      <c r="O56" s="1" t="s">
        <v>252</v>
      </c>
      <c r="P56" s="1" t="s">
        <v>246</v>
      </c>
      <c r="Q56" s="1" t="s">
        <v>256</v>
      </c>
      <c r="R56" s="3">
        <v>0</v>
      </c>
      <c r="S56" s="1" t="s">
        <v>262</v>
      </c>
      <c r="T56" s="2">
        <v>46006</v>
      </c>
    </row>
    <row r="57" spans="1:20" ht="15.6" x14ac:dyDescent="0.3">
      <c r="A57" s="1" t="s">
        <v>56</v>
      </c>
      <c r="B57" s="1" t="s">
        <v>175</v>
      </c>
      <c r="C57" s="1">
        <v>56</v>
      </c>
      <c r="D57" s="1" t="s">
        <v>107</v>
      </c>
      <c r="E57" s="1" t="s">
        <v>138</v>
      </c>
      <c r="F57" s="1" t="s">
        <v>117</v>
      </c>
      <c r="G57" s="1" t="s">
        <v>234</v>
      </c>
      <c r="H57" s="1" t="s">
        <v>235</v>
      </c>
      <c r="I57" s="1" t="s">
        <v>274</v>
      </c>
      <c r="J57" s="2">
        <v>46003</v>
      </c>
      <c r="K57" s="1">
        <v>2</v>
      </c>
      <c r="L57" s="1">
        <v>4073</v>
      </c>
      <c r="M57" s="1">
        <f t="shared" si="0"/>
        <v>8146</v>
      </c>
      <c r="N57" s="1" t="s">
        <v>251</v>
      </c>
      <c r="O57" s="1" t="s">
        <v>238</v>
      </c>
      <c r="P57" s="1" t="s">
        <v>264</v>
      </c>
      <c r="Q57" s="1" t="s">
        <v>240</v>
      </c>
      <c r="R57" s="3">
        <v>0.05</v>
      </c>
      <c r="S57" s="1" t="s">
        <v>262</v>
      </c>
      <c r="T57" s="2">
        <v>46006</v>
      </c>
    </row>
    <row r="58" spans="1:20" ht="15.6" x14ac:dyDescent="0.3">
      <c r="A58" s="1" t="s">
        <v>57</v>
      </c>
      <c r="B58" s="1" t="s">
        <v>176</v>
      </c>
      <c r="C58" s="1">
        <v>49</v>
      </c>
      <c r="D58" s="1" t="s">
        <v>107</v>
      </c>
      <c r="E58" s="1" t="s">
        <v>144</v>
      </c>
      <c r="F58" s="1" t="s">
        <v>145</v>
      </c>
      <c r="G58" s="1" t="s">
        <v>263</v>
      </c>
      <c r="H58" s="1" t="s">
        <v>243</v>
      </c>
      <c r="I58" s="1" t="s">
        <v>250</v>
      </c>
      <c r="J58" s="2">
        <v>46148</v>
      </c>
      <c r="K58" s="1">
        <v>5</v>
      </c>
      <c r="L58" s="1">
        <v>4537</v>
      </c>
      <c r="M58" s="1">
        <f t="shared" si="0"/>
        <v>22685</v>
      </c>
      <c r="N58" s="1" t="s">
        <v>259</v>
      </c>
      <c r="O58" s="1" t="s">
        <v>252</v>
      </c>
      <c r="P58" s="1" t="s">
        <v>264</v>
      </c>
      <c r="Q58" s="1" t="s">
        <v>240</v>
      </c>
      <c r="R58" s="3">
        <v>0.1</v>
      </c>
      <c r="S58" s="1" t="s">
        <v>262</v>
      </c>
      <c r="T58" s="2">
        <v>46166</v>
      </c>
    </row>
    <row r="59" spans="1:20" ht="15.6" x14ac:dyDescent="0.3">
      <c r="A59" s="1" t="s">
        <v>58</v>
      </c>
      <c r="B59" s="1" t="s">
        <v>177</v>
      </c>
      <c r="C59" s="1">
        <v>30</v>
      </c>
      <c r="D59" s="1" t="s">
        <v>111</v>
      </c>
      <c r="E59" s="1" t="s">
        <v>108</v>
      </c>
      <c r="F59" s="1" t="s">
        <v>109</v>
      </c>
      <c r="G59" s="1" t="s">
        <v>234</v>
      </c>
      <c r="H59" s="1" t="s">
        <v>265</v>
      </c>
      <c r="I59" s="1" t="s">
        <v>266</v>
      </c>
      <c r="J59" s="2">
        <v>45788</v>
      </c>
      <c r="K59" s="1">
        <v>4</v>
      </c>
      <c r="L59" s="1">
        <v>1022</v>
      </c>
      <c r="M59" s="1">
        <f t="shared" si="0"/>
        <v>4088</v>
      </c>
      <c r="N59" s="1" t="s">
        <v>259</v>
      </c>
      <c r="O59" s="1" t="s">
        <v>252</v>
      </c>
      <c r="P59" s="1" t="s">
        <v>246</v>
      </c>
      <c r="Q59" s="1" t="s">
        <v>256</v>
      </c>
      <c r="R59" s="3">
        <v>0.1</v>
      </c>
      <c r="S59" s="1" t="s">
        <v>248</v>
      </c>
      <c r="T59" s="2">
        <v>45793</v>
      </c>
    </row>
    <row r="60" spans="1:20" ht="15.6" x14ac:dyDescent="0.3">
      <c r="A60" s="1" t="s">
        <v>59</v>
      </c>
      <c r="B60" s="1" t="s">
        <v>178</v>
      </c>
      <c r="C60" s="1">
        <v>26</v>
      </c>
      <c r="D60" s="1" t="s">
        <v>107</v>
      </c>
      <c r="E60" s="1" t="s">
        <v>122</v>
      </c>
      <c r="F60" s="1" t="s">
        <v>109</v>
      </c>
      <c r="G60" s="1" t="s">
        <v>268</v>
      </c>
      <c r="H60" s="1" t="s">
        <v>254</v>
      </c>
      <c r="I60" s="1" t="s">
        <v>283</v>
      </c>
      <c r="J60" s="2">
        <v>45953</v>
      </c>
      <c r="K60" s="1">
        <v>1</v>
      </c>
      <c r="L60" s="1">
        <v>4040</v>
      </c>
      <c r="M60" s="1">
        <f t="shared" si="0"/>
        <v>4040</v>
      </c>
      <c r="N60" s="1" t="s">
        <v>237</v>
      </c>
      <c r="O60" s="1" t="s">
        <v>238</v>
      </c>
      <c r="P60" s="1" t="s">
        <v>239</v>
      </c>
      <c r="Q60" s="1" t="s">
        <v>247</v>
      </c>
      <c r="R60" s="3">
        <v>0.05</v>
      </c>
      <c r="S60" s="1" t="s">
        <v>262</v>
      </c>
      <c r="T60" s="2">
        <v>45995</v>
      </c>
    </row>
    <row r="61" spans="1:20" ht="15.6" x14ac:dyDescent="0.3">
      <c r="A61" s="1" t="s">
        <v>60</v>
      </c>
      <c r="B61" s="1" t="s">
        <v>179</v>
      </c>
      <c r="C61" s="1">
        <v>36</v>
      </c>
      <c r="D61" s="1" t="s">
        <v>111</v>
      </c>
      <c r="E61" s="1" t="s">
        <v>138</v>
      </c>
      <c r="F61" s="1" t="s">
        <v>117</v>
      </c>
      <c r="G61" s="1" t="s">
        <v>263</v>
      </c>
      <c r="H61" s="1" t="s">
        <v>265</v>
      </c>
      <c r="I61" s="1" t="s">
        <v>280</v>
      </c>
      <c r="J61" s="2">
        <v>45850</v>
      </c>
      <c r="K61" s="1">
        <v>3</v>
      </c>
      <c r="L61" s="1">
        <v>899</v>
      </c>
      <c r="M61" s="1">
        <f t="shared" si="0"/>
        <v>2697</v>
      </c>
      <c r="N61" s="1" t="s">
        <v>259</v>
      </c>
      <c r="O61" s="1" t="s">
        <v>252</v>
      </c>
      <c r="P61" s="1" t="s">
        <v>239</v>
      </c>
      <c r="Q61" s="1" t="s">
        <v>256</v>
      </c>
      <c r="R61" s="3">
        <v>0.05</v>
      </c>
      <c r="S61" s="1" t="s">
        <v>241</v>
      </c>
      <c r="T61" s="2">
        <v>45872</v>
      </c>
    </row>
    <row r="62" spans="1:20" ht="15.6" x14ac:dyDescent="0.3">
      <c r="A62" s="1" t="s">
        <v>61</v>
      </c>
      <c r="B62" s="1" t="s">
        <v>180</v>
      </c>
      <c r="C62" s="1">
        <v>58</v>
      </c>
      <c r="D62" s="1" t="s">
        <v>107</v>
      </c>
      <c r="E62" s="1" t="s">
        <v>112</v>
      </c>
      <c r="F62" s="1" t="s">
        <v>113</v>
      </c>
      <c r="G62" s="1" t="s">
        <v>263</v>
      </c>
      <c r="H62" s="1" t="s">
        <v>276</v>
      </c>
      <c r="I62" s="1" t="s">
        <v>277</v>
      </c>
      <c r="J62" s="2">
        <v>45664</v>
      </c>
      <c r="K62" s="1">
        <v>3</v>
      </c>
      <c r="L62" s="1">
        <v>2062</v>
      </c>
      <c r="M62" s="1">
        <f t="shared" si="0"/>
        <v>6186</v>
      </c>
      <c r="N62" s="1" t="s">
        <v>237</v>
      </c>
      <c r="O62" s="1" t="s">
        <v>238</v>
      </c>
      <c r="P62" s="1" t="s">
        <v>246</v>
      </c>
      <c r="Q62" s="1" t="s">
        <v>247</v>
      </c>
      <c r="R62" s="3">
        <v>0</v>
      </c>
      <c r="S62" s="1" t="s">
        <v>262</v>
      </c>
      <c r="T62" s="2">
        <v>45775</v>
      </c>
    </row>
    <row r="63" spans="1:20" ht="15.6" x14ac:dyDescent="0.3">
      <c r="A63" s="1" t="s">
        <v>62</v>
      </c>
      <c r="B63" s="1" t="s">
        <v>181</v>
      </c>
      <c r="C63" s="1">
        <v>54</v>
      </c>
      <c r="D63" s="1" t="s">
        <v>107</v>
      </c>
      <c r="E63" s="1" t="s">
        <v>112</v>
      </c>
      <c r="F63" s="1" t="s">
        <v>113</v>
      </c>
      <c r="G63" s="1" t="s">
        <v>249</v>
      </c>
      <c r="H63" s="1" t="s">
        <v>235</v>
      </c>
      <c r="I63" s="1" t="s">
        <v>272</v>
      </c>
      <c r="J63" s="2">
        <v>45999</v>
      </c>
      <c r="K63" s="1">
        <v>4</v>
      </c>
      <c r="L63" s="1">
        <v>1313</v>
      </c>
      <c r="M63" s="1">
        <f t="shared" si="0"/>
        <v>5252</v>
      </c>
      <c r="N63" s="1" t="s">
        <v>251</v>
      </c>
      <c r="O63" s="1" t="s">
        <v>252</v>
      </c>
      <c r="P63" s="1" t="s">
        <v>239</v>
      </c>
      <c r="Q63" s="1" t="s">
        <v>247</v>
      </c>
      <c r="R63" s="3">
        <v>0.05</v>
      </c>
      <c r="S63" s="1" t="s">
        <v>262</v>
      </c>
      <c r="T63" s="2">
        <v>46007</v>
      </c>
    </row>
    <row r="64" spans="1:20" ht="15.6" x14ac:dyDescent="0.3">
      <c r="A64" s="1" t="s">
        <v>63</v>
      </c>
      <c r="B64" s="1" t="s">
        <v>182</v>
      </c>
      <c r="C64" s="1">
        <v>38</v>
      </c>
      <c r="D64" s="1" t="s">
        <v>111</v>
      </c>
      <c r="E64" s="1" t="s">
        <v>144</v>
      </c>
      <c r="F64" s="1" t="s">
        <v>145</v>
      </c>
      <c r="G64" s="1" t="s">
        <v>260</v>
      </c>
      <c r="H64" s="1" t="s">
        <v>276</v>
      </c>
      <c r="I64" s="1" t="s">
        <v>277</v>
      </c>
      <c r="J64" s="2">
        <v>45740</v>
      </c>
      <c r="K64" s="1">
        <v>2</v>
      </c>
      <c r="L64" s="1">
        <v>2465</v>
      </c>
      <c r="M64" s="1">
        <f t="shared" si="0"/>
        <v>4930</v>
      </c>
      <c r="N64" s="1" t="s">
        <v>237</v>
      </c>
      <c r="O64" s="1" t="s">
        <v>252</v>
      </c>
      <c r="P64" s="1" t="s">
        <v>246</v>
      </c>
      <c r="Q64" s="1" t="s">
        <v>256</v>
      </c>
      <c r="R64" s="3">
        <v>0.05</v>
      </c>
      <c r="S64" s="1" t="s">
        <v>248</v>
      </c>
      <c r="T64" s="2">
        <v>45847</v>
      </c>
    </row>
    <row r="65" spans="1:20" ht="15.6" x14ac:dyDescent="0.3">
      <c r="A65" s="1" t="s">
        <v>64</v>
      </c>
      <c r="B65" s="1" t="s">
        <v>183</v>
      </c>
      <c r="C65" s="1">
        <v>24</v>
      </c>
      <c r="D65" s="1" t="s">
        <v>107</v>
      </c>
      <c r="E65" s="1" t="s">
        <v>116</v>
      </c>
      <c r="F65" s="1" t="s">
        <v>117</v>
      </c>
      <c r="G65" s="1" t="s">
        <v>260</v>
      </c>
      <c r="H65" s="1" t="s">
        <v>235</v>
      </c>
      <c r="I65" s="1" t="s">
        <v>236</v>
      </c>
      <c r="J65" s="2">
        <v>45877</v>
      </c>
      <c r="K65" s="1">
        <v>2</v>
      </c>
      <c r="L65" s="1">
        <v>644</v>
      </c>
      <c r="M65" s="1">
        <f t="shared" si="0"/>
        <v>1288</v>
      </c>
      <c r="N65" s="1" t="s">
        <v>245</v>
      </c>
      <c r="O65" s="1" t="s">
        <v>252</v>
      </c>
      <c r="P65" s="1" t="s">
        <v>264</v>
      </c>
      <c r="Q65" s="1" t="s">
        <v>240</v>
      </c>
      <c r="R65" s="3">
        <v>0.1</v>
      </c>
      <c r="S65" s="1" t="s">
        <v>248</v>
      </c>
      <c r="T65" s="2">
        <v>45929</v>
      </c>
    </row>
    <row r="66" spans="1:20" ht="15.6" x14ac:dyDescent="0.3">
      <c r="A66" s="1" t="s">
        <v>65</v>
      </c>
      <c r="B66" s="1" t="s">
        <v>184</v>
      </c>
      <c r="C66" s="1">
        <v>26</v>
      </c>
      <c r="D66" s="1" t="s">
        <v>111</v>
      </c>
      <c r="E66" s="1" t="s">
        <v>119</v>
      </c>
      <c r="F66" s="1" t="s">
        <v>109</v>
      </c>
      <c r="G66" s="1" t="s">
        <v>249</v>
      </c>
      <c r="H66" s="1" t="s">
        <v>276</v>
      </c>
      <c r="I66" s="1" t="s">
        <v>277</v>
      </c>
      <c r="J66" s="2">
        <v>46039</v>
      </c>
      <c r="K66" s="1">
        <v>1</v>
      </c>
      <c r="L66" s="1">
        <v>4850</v>
      </c>
      <c r="M66" s="1">
        <f t="shared" si="0"/>
        <v>4850</v>
      </c>
      <c r="N66" s="1" t="s">
        <v>237</v>
      </c>
      <c r="O66" s="1" t="s">
        <v>252</v>
      </c>
      <c r="P66" s="1" t="s">
        <v>246</v>
      </c>
      <c r="Q66" s="1" t="s">
        <v>256</v>
      </c>
      <c r="R66" s="3">
        <v>0.15</v>
      </c>
      <c r="S66" s="1" t="s">
        <v>241</v>
      </c>
      <c r="T66" s="2">
        <v>46081</v>
      </c>
    </row>
    <row r="67" spans="1:20" ht="15.6" x14ac:dyDescent="0.3">
      <c r="A67" s="1" t="s">
        <v>66</v>
      </c>
      <c r="B67" s="1" t="s">
        <v>185</v>
      </c>
      <c r="C67" s="1">
        <v>34</v>
      </c>
      <c r="D67" s="1" t="s">
        <v>107</v>
      </c>
      <c r="E67" s="1" t="s">
        <v>129</v>
      </c>
      <c r="F67" s="1" t="s">
        <v>117</v>
      </c>
      <c r="G67" s="1" t="s">
        <v>263</v>
      </c>
      <c r="H67" s="1" t="s">
        <v>235</v>
      </c>
      <c r="I67" s="1" t="s">
        <v>272</v>
      </c>
      <c r="J67" s="2">
        <v>45743</v>
      </c>
      <c r="K67" s="1">
        <v>3</v>
      </c>
      <c r="L67" s="1">
        <v>4944</v>
      </c>
      <c r="M67" s="1">
        <f t="shared" ref="M67:M101" si="1">K67*L67</f>
        <v>14832</v>
      </c>
      <c r="N67" s="1" t="s">
        <v>259</v>
      </c>
      <c r="O67" s="1" t="s">
        <v>238</v>
      </c>
      <c r="P67" s="1" t="s">
        <v>239</v>
      </c>
      <c r="Q67" s="1" t="s">
        <v>247</v>
      </c>
      <c r="R67" s="3">
        <v>0</v>
      </c>
      <c r="S67" s="1" t="s">
        <v>241</v>
      </c>
      <c r="T67" s="2">
        <v>45821</v>
      </c>
    </row>
    <row r="68" spans="1:20" ht="15.6" x14ac:dyDescent="0.3">
      <c r="A68" s="1" t="s">
        <v>67</v>
      </c>
      <c r="B68" s="1" t="s">
        <v>186</v>
      </c>
      <c r="C68" s="1">
        <v>58</v>
      </c>
      <c r="D68" s="1" t="s">
        <v>111</v>
      </c>
      <c r="E68" s="1" t="s">
        <v>116</v>
      </c>
      <c r="F68" s="1" t="s">
        <v>117</v>
      </c>
      <c r="G68" s="1" t="s">
        <v>268</v>
      </c>
      <c r="H68" s="1" t="s">
        <v>265</v>
      </c>
      <c r="I68" s="1" t="s">
        <v>275</v>
      </c>
      <c r="J68" s="2">
        <v>45965</v>
      </c>
      <c r="K68" s="1">
        <v>5</v>
      </c>
      <c r="L68" s="1">
        <v>3066</v>
      </c>
      <c r="M68" s="1">
        <f t="shared" si="1"/>
        <v>15330</v>
      </c>
      <c r="N68" s="1" t="s">
        <v>245</v>
      </c>
      <c r="O68" s="1" t="s">
        <v>252</v>
      </c>
      <c r="P68" s="1" t="s">
        <v>264</v>
      </c>
      <c r="Q68" s="1" t="s">
        <v>247</v>
      </c>
      <c r="R68" s="3">
        <v>0.05</v>
      </c>
      <c r="S68" s="1" t="s">
        <v>262</v>
      </c>
      <c r="T68" s="2">
        <v>46067</v>
      </c>
    </row>
    <row r="69" spans="1:20" ht="15.6" x14ac:dyDescent="0.3">
      <c r="A69" s="1" t="s">
        <v>68</v>
      </c>
      <c r="B69" s="1" t="s">
        <v>187</v>
      </c>
      <c r="C69" s="1">
        <v>55</v>
      </c>
      <c r="D69" s="1" t="s">
        <v>107</v>
      </c>
      <c r="E69" s="1" t="s">
        <v>112</v>
      </c>
      <c r="F69" s="1" t="s">
        <v>113</v>
      </c>
      <c r="G69" s="1" t="s">
        <v>260</v>
      </c>
      <c r="H69" s="1" t="s">
        <v>243</v>
      </c>
      <c r="I69" s="1" t="s">
        <v>281</v>
      </c>
      <c r="J69" s="2">
        <v>46040</v>
      </c>
      <c r="K69" s="1">
        <v>3</v>
      </c>
      <c r="L69" s="1">
        <v>2248</v>
      </c>
      <c r="M69" s="1">
        <f t="shared" si="1"/>
        <v>6744</v>
      </c>
      <c r="N69" s="1" t="s">
        <v>237</v>
      </c>
      <c r="O69" s="1" t="s">
        <v>238</v>
      </c>
      <c r="P69" s="1" t="s">
        <v>239</v>
      </c>
      <c r="Q69" s="1" t="s">
        <v>240</v>
      </c>
      <c r="R69" s="3">
        <v>0.2</v>
      </c>
      <c r="S69" s="1" t="s">
        <v>248</v>
      </c>
      <c r="T69" s="2">
        <v>46114</v>
      </c>
    </row>
    <row r="70" spans="1:20" ht="15.6" x14ac:dyDescent="0.3">
      <c r="A70" s="1" t="s">
        <v>69</v>
      </c>
      <c r="B70" s="1" t="s">
        <v>188</v>
      </c>
      <c r="C70" s="1">
        <v>41</v>
      </c>
      <c r="D70" s="1" t="s">
        <v>107</v>
      </c>
      <c r="E70" s="1" t="s">
        <v>108</v>
      </c>
      <c r="F70" s="1" t="s">
        <v>109</v>
      </c>
      <c r="G70" s="1" t="s">
        <v>253</v>
      </c>
      <c r="H70" s="1" t="s">
        <v>235</v>
      </c>
      <c r="I70" s="1" t="s">
        <v>272</v>
      </c>
      <c r="J70" s="2">
        <v>45962</v>
      </c>
      <c r="K70" s="1">
        <v>1</v>
      </c>
      <c r="L70" s="1">
        <v>1250</v>
      </c>
      <c r="M70" s="1">
        <f t="shared" si="1"/>
        <v>1250</v>
      </c>
      <c r="N70" s="1" t="s">
        <v>259</v>
      </c>
      <c r="O70" s="1" t="s">
        <v>252</v>
      </c>
      <c r="P70" s="1" t="s">
        <v>239</v>
      </c>
      <c r="Q70" s="1" t="s">
        <v>256</v>
      </c>
      <c r="R70" s="3">
        <v>0.1</v>
      </c>
      <c r="S70" s="1" t="s">
        <v>248</v>
      </c>
      <c r="T70" s="2">
        <v>46067</v>
      </c>
    </row>
    <row r="71" spans="1:20" ht="15.6" x14ac:dyDescent="0.3">
      <c r="A71" s="1" t="s">
        <v>70</v>
      </c>
      <c r="B71" s="1" t="s">
        <v>189</v>
      </c>
      <c r="C71" s="1">
        <v>47</v>
      </c>
      <c r="D71" s="1" t="s">
        <v>107</v>
      </c>
      <c r="E71" s="1" t="s">
        <v>116</v>
      </c>
      <c r="F71" s="1" t="s">
        <v>117</v>
      </c>
      <c r="G71" s="1" t="s">
        <v>234</v>
      </c>
      <c r="H71" s="1" t="s">
        <v>257</v>
      </c>
      <c r="I71" s="1" t="s">
        <v>284</v>
      </c>
      <c r="J71" s="2">
        <v>45986</v>
      </c>
      <c r="K71" s="1">
        <v>1</v>
      </c>
      <c r="L71" s="1">
        <v>4719</v>
      </c>
      <c r="M71" s="1">
        <f t="shared" si="1"/>
        <v>4719</v>
      </c>
      <c r="N71" s="1" t="s">
        <v>251</v>
      </c>
      <c r="O71" s="1" t="s">
        <v>252</v>
      </c>
      <c r="P71" s="1" t="s">
        <v>246</v>
      </c>
      <c r="Q71" s="1" t="s">
        <v>256</v>
      </c>
      <c r="R71" s="3">
        <v>0.1</v>
      </c>
      <c r="S71" s="1" t="s">
        <v>248</v>
      </c>
      <c r="T71" s="2">
        <v>46101</v>
      </c>
    </row>
    <row r="72" spans="1:20" ht="15.6" x14ac:dyDescent="0.3">
      <c r="A72" s="1" t="s">
        <v>71</v>
      </c>
      <c r="B72" s="1" t="s">
        <v>190</v>
      </c>
      <c r="C72" s="1">
        <v>60</v>
      </c>
      <c r="D72" s="1" t="s">
        <v>107</v>
      </c>
      <c r="E72" s="1" t="s">
        <v>138</v>
      </c>
      <c r="F72" s="1" t="s">
        <v>117</v>
      </c>
      <c r="G72" s="1" t="s">
        <v>263</v>
      </c>
      <c r="H72" s="1" t="s">
        <v>254</v>
      </c>
      <c r="I72" s="1" t="s">
        <v>273</v>
      </c>
      <c r="J72" s="2">
        <v>45819</v>
      </c>
      <c r="K72" s="1">
        <v>1</v>
      </c>
      <c r="L72" s="1">
        <v>4325</v>
      </c>
      <c r="M72" s="1">
        <f t="shared" si="1"/>
        <v>4325</v>
      </c>
      <c r="N72" s="1" t="s">
        <v>245</v>
      </c>
      <c r="O72" s="1" t="s">
        <v>238</v>
      </c>
      <c r="P72" s="1" t="s">
        <v>239</v>
      </c>
      <c r="Q72" s="1" t="s">
        <v>247</v>
      </c>
      <c r="R72" s="3">
        <v>0.15</v>
      </c>
      <c r="S72" s="1" t="s">
        <v>241</v>
      </c>
      <c r="T72" s="2">
        <v>45838</v>
      </c>
    </row>
    <row r="73" spans="1:20" ht="15.6" x14ac:dyDescent="0.3">
      <c r="A73" s="1" t="s">
        <v>72</v>
      </c>
      <c r="B73" s="1" t="s">
        <v>191</v>
      </c>
      <c r="C73" s="1">
        <v>45</v>
      </c>
      <c r="D73" s="1" t="s">
        <v>111</v>
      </c>
      <c r="E73" s="1" t="s">
        <v>144</v>
      </c>
      <c r="F73" s="1" t="s">
        <v>145</v>
      </c>
      <c r="G73" s="1" t="s">
        <v>268</v>
      </c>
      <c r="H73" s="1" t="s">
        <v>243</v>
      </c>
      <c r="I73" s="1" t="s">
        <v>250</v>
      </c>
      <c r="J73" s="2">
        <v>45966</v>
      </c>
      <c r="K73" s="1">
        <v>3</v>
      </c>
      <c r="L73" s="1">
        <v>3978</v>
      </c>
      <c r="M73" s="1">
        <f t="shared" si="1"/>
        <v>11934</v>
      </c>
      <c r="N73" s="1" t="s">
        <v>245</v>
      </c>
      <c r="O73" s="1" t="s">
        <v>252</v>
      </c>
      <c r="P73" s="1" t="s">
        <v>264</v>
      </c>
      <c r="Q73" s="1" t="s">
        <v>240</v>
      </c>
      <c r="R73" s="3">
        <v>0.1</v>
      </c>
      <c r="S73" s="1" t="s">
        <v>248</v>
      </c>
      <c r="T73" s="2">
        <v>46056</v>
      </c>
    </row>
    <row r="74" spans="1:20" ht="15.6" x14ac:dyDescent="0.3">
      <c r="A74" s="1" t="s">
        <v>73</v>
      </c>
      <c r="B74" s="1" t="s">
        <v>192</v>
      </c>
      <c r="C74" s="1">
        <v>34</v>
      </c>
      <c r="D74" s="1" t="s">
        <v>107</v>
      </c>
      <c r="E74" s="1" t="s">
        <v>122</v>
      </c>
      <c r="F74" s="1" t="s">
        <v>109</v>
      </c>
      <c r="G74" s="1" t="s">
        <v>253</v>
      </c>
      <c r="H74" s="1" t="s">
        <v>257</v>
      </c>
      <c r="I74" s="1" t="s">
        <v>261</v>
      </c>
      <c r="J74" s="2">
        <v>45875</v>
      </c>
      <c r="K74" s="1">
        <v>3</v>
      </c>
      <c r="L74" s="1">
        <v>3031</v>
      </c>
      <c r="M74" s="1">
        <f t="shared" si="1"/>
        <v>9093</v>
      </c>
      <c r="N74" s="1" t="s">
        <v>237</v>
      </c>
      <c r="O74" s="1" t="s">
        <v>238</v>
      </c>
      <c r="P74" s="1" t="s">
        <v>239</v>
      </c>
      <c r="Q74" s="1" t="s">
        <v>256</v>
      </c>
      <c r="R74" s="3">
        <v>0.2</v>
      </c>
      <c r="S74" s="1" t="s">
        <v>262</v>
      </c>
      <c r="T74" s="2">
        <v>45923</v>
      </c>
    </row>
    <row r="75" spans="1:20" ht="15.6" x14ac:dyDescent="0.3">
      <c r="A75" s="1" t="s">
        <v>74</v>
      </c>
      <c r="B75" s="1" t="s">
        <v>193</v>
      </c>
      <c r="C75" s="1">
        <v>60</v>
      </c>
      <c r="D75" s="1" t="s">
        <v>107</v>
      </c>
      <c r="E75" s="1" t="s">
        <v>108</v>
      </c>
      <c r="F75" s="1" t="s">
        <v>109</v>
      </c>
      <c r="G75" s="1" t="s">
        <v>253</v>
      </c>
      <c r="H75" s="1" t="s">
        <v>276</v>
      </c>
      <c r="I75" s="1" t="s">
        <v>278</v>
      </c>
      <c r="J75" s="2">
        <v>45873</v>
      </c>
      <c r="K75" s="1">
        <v>3</v>
      </c>
      <c r="L75" s="1">
        <v>230</v>
      </c>
      <c r="M75" s="1">
        <f t="shared" si="1"/>
        <v>690</v>
      </c>
      <c r="N75" s="1" t="s">
        <v>259</v>
      </c>
      <c r="O75" s="1" t="s">
        <v>252</v>
      </c>
      <c r="P75" s="1" t="s">
        <v>239</v>
      </c>
      <c r="Q75" s="1" t="s">
        <v>256</v>
      </c>
      <c r="R75" s="3">
        <v>0.2</v>
      </c>
      <c r="S75" s="1" t="s">
        <v>262</v>
      </c>
      <c r="T75" s="2">
        <v>45955</v>
      </c>
    </row>
    <row r="76" spans="1:20" ht="15.6" x14ac:dyDescent="0.3">
      <c r="A76" s="1" t="s">
        <v>75</v>
      </c>
      <c r="B76" s="1" t="s">
        <v>194</v>
      </c>
      <c r="C76" s="1">
        <v>56</v>
      </c>
      <c r="D76" s="1" t="s">
        <v>111</v>
      </c>
      <c r="E76" s="1" t="s">
        <v>108</v>
      </c>
      <c r="F76" s="1" t="s">
        <v>109</v>
      </c>
      <c r="G76" s="1" t="s">
        <v>242</v>
      </c>
      <c r="H76" s="1" t="s">
        <v>257</v>
      </c>
      <c r="I76" s="1" t="s">
        <v>284</v>
      </c>
      <c r="J76" s="2">
        <v>46103</v>
      </c>
      <c r="K76" s="1">
        <v>2</v>
      </c>
      <c r="L76" s="1">
        <v>675</v>
      </c>
      <c r="M76" s="1">
        <f t="shared" si="1"/>
        <v>1350</v>
      </c>
      <c r="N76" s="1" t="s">
        <v>237</v>
      </c>
      <c r="O76" s="1" t="s">
        <v>238</v>
      </c>
      <c r="P76" s="1" t="s">
        <v>264</v>
      </c>
      <c r="Q76" s="1" t="s">
        <v>240</v>
      </c>
      <c r="R76" s="3">
        <v>0.1</v>
      </c>
      <c r="S76" s="1" t="s">
        <v>241</v>
      </c>
      <c r="T76" s="2">
        <v>46166</v>
      </c>
    </row>
    <row r="77" spans="1:20" ht="15.6" x14ac:dyDescent="0.3">
      <c r="A77" s="1" t="s">
        <v>76</v>
      </c>
      <c r="B77" s="1" t="s">
        <v>195</v>
      </c>
      <c r="C77" s="1">
        <v>41</v>
      </c>
      <c r="D77" s="1" t="s">
        <v>111</v>
      </c>
      <c r="E77" s="1" t="s">
        <v>129</v>
      </c>
      <c r="F77" s="1" t="s">
        <v>117</v>
      </c>
      <c r="G77" s="1" t="s">
        <v>249</v>
      </c>
      <c r="H77" s="1" t="s">
        <v>265</v>
      </c>
      <c r="I77" s="1" t="s">
        <v>280</v>
      </c>
      <c r="J77" s="2">
        <v>46025</v>
      </c>
      <c r="K77" s="1">
        <v>4</v>
      </c>
      <c r="L77" s="1">
        <v>3086</v>
      </c>
      <c r="M77" s="1">
        <f t="shared" si="1"/>
        <v>12344</v>
      </c>
      <c r="N77" s="1" t="s">
        <v>259</v>
      </c>
      <c r="O77" s="1" t="s">
        <v>238</v>
      </c>
      <c r="P77" s="1" t="s">
        <v>239</v>
      </c>
      <c r="Q77" s="1" t="s">
        <v>247</v>
      </c>
      <c r="R77" s="3">
        <v>0.1</v>
      </c>
      <c r="S77" s="1" t="s">
        <v>241</v>
      </c>
      <c r="T77" s="2">
        <v>46075</v>
      </c>
    </row>
    <row r="78" spans="1:20" ht="15.6" x14ac:dyDescent="0.3">
      <c r="A78" s="1" t="s">
        <v>77</v>
      </c>
      <c r="B78" s="1" t="s">
        <v>196</v>
      </c>
      <c r="C78" s="1">
        <v>43</v>
      </c>
      <c r="D78" s="1" t="s">
        <v>107</v>
      </c>
      <c r="E78" s="1" t="s">
        <v>129</v>
      </c>
      <c r="F78" s="1" t="s">
        <v>117</v>
      </c>
      <c r="G78" s="1" t="s">
        <v>268</v>
      </c>
      <c r="H78" s="1" t="s">
        <v>243</v>
      </c>
      <c r="I78" s="1" t="s">
        <v>250</v>
      </c>
      <c r="J78" s="2">
        <v>46121</v>
      </c>
      <c r="K78" s="1">
        <v>1</v>
      </c>
      <c r="L78" s="1">
        <v>494</v>
      </c>
      <c r="M78" s="1">
        <f t="shared" si="1"/>
        <v>494</v>
      </c>
      <c r="N78" s="1" t="s">
        <v>245</v>
      </c>
      <c r="O78" s="1" t="s">
        <v>252</v>
      </c>
      <c r="P78" s="1" t="s">
        <v>239</v>
      </c>
      <c r="Q78" s="1" t="s">
        <v>256</v>
      </c>
      <c r="R78" s="3">
        <v>0.2</v>
      </c>
      <c r="S78" s="1" t="s">
        <v>241</v>
      </c>
      <c r="T78" s="2">
        <v>46149</v>
      </c>
    </row>
    <row r="79" spans="1:20" ht="15.6" x14ac:dyDescent="0.3">
      <c r="A79" s="1" t="s">
        <v>78</v>
      </c>
      <c r="B79" s="1" t="s">
        <v>197</v>
      </c>
      <c r="C79" s="1">
        <v>31</v>
      </c>
      <c r="D79" s="1" t="s">
        <v>107</v>
      </c>
      <c r="E79" s="1" t="s">
        <v>112</v>
      </c>
      <c r="F79" s="1" t="s">
        <v>113</v>
      </c>
      <c r="G79" s="1" t="s">
        <v>242</v>
      </c>
      <c r="H79" s="1" t="s">
        <v>265</v>
      </c>
      <c r="I79" s="1" t="s">
        <v>280</v>
      </c>
      <c r="J79" s="2">
        <v>45726</v>
      </c>
      <c r="K79" s="1">
        <v>2</v>
      </c>
      <c r="L79" s="1">
        <v>2027</v>
      </c>
      <c r="M79" s="1">
        <f t="shared" si="1"/>
        <v>4054</v>
      </c>
      <c r="N79" s="1" t="s">
        <v>245</v>
      </c>
      <c r="O79" s="1" t="s">
        <v>238</v>
      </c>
      <c r="P79" s="1" t="s">
        <v>246</v>
      </c>
      <c r="Q79" s="1" t="s">
        <v>240</v>
      </c>
      <c r="R79" s="3">
        <v>0.2</v>
      </c>
      <c r="S79" s="1" t="s">
        <v>248</v>
      </c>
      <c r="T79" s="2">
        <v>45827</v>
      </c>
    </row>
    <row r="80" spans="1:20" ht="15.6" x14ac:dyDescent="0.3">
      <c r="A80" s="1" t="s">
        <v>79</v>
      </c>
      <c r="B80" s="1" t="s">
        <v>198</v>
      </c>
      <c r="C80" s="1">
        <v>19</v>
      </c>
      <c r="D80" s="1" t="s">
        <v>107</v>
      </c>
      <c r="E80" s="1" t="s">
        <v>119</v>
      </c>
      <c r="F80" s="1" t="s">
        <v>109</v>
      </c>
      <c r="G80" s="1" t="s">
        <v>263</v>
      </c>
      <c r="H80" s="1" t="s">
        <v>254</v>
      </c>
      <c r="I80" s="1" t="s">
        <v>255</v>
      </c>
      <c r="J80" s="2">
        <v>46106</v>
      </c>
      <c r="K80" s="1">
        <v>3</v>
      </c>
      <c r="L80" s="1">
        <v>5000</v>
      </c>
      <c r="M80" s="1">
        <f t="shared" si="1"/>
        <v>15000</v>
      </c>
      <c r="N80" s="1" t="s">
        <v>259</v>
      </c>
      <c r="O80" s="1" t="s">
        <v>238</v>
      </c>
      <c r="P80" s="1" t="s">
        <v>239</v>
      </c>
      <c r="Q80" s="1" t="s">
        <v>240</v>
      </c>
      <c r="R80" s="3">
        <v>0.15</v>
      </c>
      <c r="S80" s="1" t="s">
        <v>262</v>
      </c>
      <c r="T80" s="2">
        <v>46156</v>
      </c>
    </row>
    <row r="81" spans="1:20" ht="15.6" x14ac:dyDescent="0.3">
      <c r="A81" s="1" t="s">
        <v>80</v>
      </c>
      <c r="B81" s="1" t="s">
        <v>199</v>
      </c>
      <c r="C81" s="1">
        <v>43</v>
      </c>
      <c r="D81" s="1" t="s">
        <v>107</v>
      </c>
      <c r="E81" s="1" t="s">
        <v>116</v>
      </c>
      <c r="F81" s="1" t="s">
        <v>117</v>
      </c>
      <c r="G81" s="1" t="s">
        <v>249</v>
      </c>
      <c r="H81" s="1" t="s">
        <v>276</v>
      </c>
      <c r="I81" s="1" t="s">
        <v>285</v>
      </c>
      <c r="J81" s="2">
        <v>45986</v>
      </c>
      <c r="K81" s="1">
        <v>1</v>
      </c>
      <c r="L81" s="1">
        <v>467</v>
      </c>
      <c r="M81" s="1">
        <f t="shared" si="1"/>
        <v>467</v>
      </c>
      <c r="N81" s="1" t="s">
        <v>237</v>
      </c>
      <c r="O81" s="1" t="s">
        <v>238</v>
      </c>
      <c r="P81" s="1" t="s">
        <v>239</v>
      </c>
      <c r="Q81" s="1" t="s">
        <v>240</v>
      </c>
      <c r="R81" s="3">
        <v>0</v>
      </c>
      <c r="S81" s="1" t="s">
        <v>248</v>
      </c>
      <c r="T81" s="2">
        <v>46077</v>
      </c>
    </row>
    <row r="82" spans="1:20" ht="15.6" x14ac:dyDescent="0.3">
      <c r="A82" s="1" t="s">
        <v>81</v>
      </c>
      <c r="B82" s="1" t="s">
        <v>200</v>
      </c>
      <c r="C82" s="1">
        <v>32</v>
      </c>
      <c r="D82" s="1" t="s">
        <v>107</v>
      </c>
      <c r="E82" s="1" t="s">
        <v>129</v>
      </c>
      <c r="F82" s="1" t="s">
        <v>117</v>
      </c>
      <c r="G82" s="1" t="s">
        <v>271</v>
      </c>
      <c r="H82" s="1" t="s">
        <v>243</v>
      </c>
      <c r="I82" s="1" t="s">
        <v>250</v>
      </c>
      <c r="J82" s="2">
        <v>46153</v>
      </c>
      <c r="K82" s="1">
        <v>1</v>
      </c>
      <c r="L82" s="1">
        <v>1852</v>
      </c>
      <c r="M82" s="1">
        <f t="shared" si="1"/>
        <v>1852</v>
      </c>
      <c r="N82" s="1" t="s">
        <v>251</v>
      </c>
      <c r="O82" s="1" t="s">
        <v>238</v>
      </c>
      <c r="P82" s="1" t="s">
        <v>239</v>
      </c>
      <c r="Q82" s="1" t="s">
        <v>247</v>
      </c>
      <c r="R82" s="3">
        <v>0.2</v>
      </c>
      <c r="S82" s="1" t="s">
        <v>241</v>
      </c>
      <c r="T82" s="2">
        <v>46183</v>
      </c>
    </row>
    <row r="83" spans="1:20" ht="15.6" x14ac:dyDescent="0.3">
      <c r="A83" s="1" t="s">
        <v>82</v>
      </c>
      <c r="B83" s="1" t="s">
        <v>201</v>
      </c>
      <c r="C83" s="1">
        <v>32</v>
      </c>
      <c r="D83" s="1" t="s">
        <v>107</v>
      </c>
      <c r="E83" s="1" t="s">
        <v>144</v>
      </c>
      <c r="F83" s="1" t="s">
        <v>145</v>
      </c>
      <c r="G83" s="1" t="s">
        <v>249</v>
      </c>
      <c r="H83" s="1" t="s">
        <v>243</v>
      </c>
      <c r="I83" s="1" t="s">
        <v>244</v>
      </c>
      <c r="J83" s="2">
        <v>45982</v>
      </c>
      <c r="K83" s="1">
        <v>4</v>
      </c>
      <c r="L83" s="1">
        <v>2095</v>
      </c>
      <c r="M83" s="1">
        <f t="shared" si="1"/>
        <v>8380</v>
      </c>
      <c r="N83" s="1" t="s">
        <v>259</v>
      </c>
      <c r="O83" s="1" t="s">
        <v>238</v>
      </c>
      <c r="P83" s="1" t="s">
        <v>246</v>
      </c>
      <c r="Q83" s="1" t="s">
        <v>247</v>
      </c>
      <c r="R83" s="3">
        <v>0</v>
      </c>
      <c r="S83" s="1" t="s">
        <v>241</v>
      </c>
      <c r="T83" s="2">
        <v>45984</v>
      </c>
    </row>
    <row r="84" spans="1:20" ht="15.6" x14ac:dyDescent="0.3">
      <c r="A84" s="1" t="s">
        <v>83</v>
      </c>
      <c r="B84" s="1" t="s">
        <v>202</v>
      </c>
      <c r="C84" s="1">
        <v>58</v>
      </c>
      <c r="D84" s="1" t="s">
        <v>111</v>
      </c>
      <c r="E84" s="1" t="s">
        <v>108</v>
      </c>
      <c r="F84" s="1" t="s">
        <v>109</v>
      </c>
      <c r="G84" s="1" t="s">
        <v>242</v>
      </c>
      <c r="H84" s="1" t="s">
        <v>254</v>
      </c>
      <c r="I84" s="1" t="s">
        <v>273</v>
      </c>
      <c r="J84" s="2">
        <v>45998</v>
      </c>
      <c r="K84" s="1">
        <v>4</v>
      </c>
      <c r="L84" s="1">
        <v>1133</v>
      </c>
      <c r="M84" s="1">
        <f t="shared" si="1"/>
        <v>4532</v>
      </c>
      <c r="N84" s="1" t="s">
        <v>245</v>
      </c>
      <c r="O84" s="1" t="s">
        <v>238</v>
      </c>
      <c r="P84" s="1" t="s">
        <v>264</v>
      </c>
      <c r="Q84" s="1" t="s">
        <v>240</v>
      </c>
      <c r="R84" s="3">
        <v>0.1</v>
      </c>
      <c r="S84" s="1" t="s">
        <v>241</v>
      </c>
      <c r="T84" s="2">
        <v>46045</v>
      </c>
    </row>
    <row r="85" spans="1:20" ht="15.6" x14ac:dyDescent="0.3">
      <c r="A85" s="1" t="s">
        <v>84</v>
      </c>
      <c r="B85" s="1" t="s">
        <v>203</v>
      </c>
      <c r="C85" s="1">
        <v>45</v>
      </c>
      <c r="D85" s="1" t="s">
        <v>111</v>
      </c>
      <c r="E85" s="1" t="s">
        <v>112</v>
      </c>
      <c r="F85" s="1" t="s">
        <v>113</v>
      </c>
      <c r="G85" s="1" t="s">
        <v>263</v>
      </c>
      <c r="H85" s="1" t="s">
        <v>235</v>
      </c>
      <c r="I85" s="1" t="s">
        <v>272</v>
      </c>
      <c r="J85" s="2">
        <v>45778</v>
      </c>
      <c r="K85" s="1">
        <v>1</v>
      </c>
      <c r="L85" s="1">
        <v>3387</v>
      </c>
      <c r="M85" s="1">
        <f t="shared" si="1"/>
        <v>3387</v>
      </c>
      <c r="N85" s="1" t="s">
        <v>245</v>
      </c>
      <c r="O85" s="1" t="s">
        <v>238</v>
      </c>
      <c r="P85" s="1" t="s">
        <v>246</v>
      </c>
      <c r="Q85" s="1" t="s">
        <v>240</v>
      </c>
      <c r="R85" s="3">
        <v>0.15</v>
      </c>
      <c r="S85" s="1" t="s">
        <v>241</v>
      </c>
      <c r="T85" s="2">
        <v>45875</v>
      </c>
    </row>
    <row r="86" spans="1:20" ht="15.6" x14ac:dyDescent="0.3">
      <c r="A86" s="1" t="s">
        <v>85</v>
      </c>
      <c r="B86" s="1" t="s">
        <v>204</v>
      </c>
      <c r="C86" s="1">
        <v>50</v>
      </c>
      <c r="D86" s="1" t="s">
        <v>111</v>
      </c>
      <c r="E86" s="1" t="s">
        <v>112</v>
      </c>
      <c r="F86" s="1" t="s">
        <v>113</v>
      </c>
      <c r="G86" s="1" t="s">
        <v>260</v>
      </c>
      <c r="H86" s="1" t="s">
        <v>265</v>
      </c>
      <c r="I86" s="1" t="s">
        <v>280</v>
      </c>
      <c r="J86" s="2">
        <v>45805</v>
      </c>
      <c r="K86" s="1">
        <v>2</v>
      </c>
      <c r="L86" s="1">
        <v>902</v>
      </c>
      <c r="M86" s="1">
        <f t="shared" si="1"/>
        <v>1804</v>
      </c>
      <c r="N86" s="1" t="s">
        <v>259</v>
      </c>
      <c r="O86" s="1" t="s">
        <v>252</v>
      </c>
      <c r="P86" s="1" t="s">
        <v>239</v>
      </c>
      <c r="Q86" s="1" t="s">
        <v>247</v>
      </c>
      <c r="R86" s="3">
        <v>0.05</v>
      </c>
      <c r="S86" s="1" t="s">
        <v>241</v>
      </c>
      <c r="T86" s="2">
        <v>45917</v>
      </c>
    </row>
    <row r="87" spans="1:20" ht="15.6" x14ac:dyDescent="0.3">
      <c r="A87" s="1" t="s">
        <v>86</v>
      </c>
      <c r="B87" s="1" t="s">
        <v>205</v>
      </c>
      <c r="C87" s="1">
        <v>60</v>
      </c>
      <c r="D87" s="1" t="s">
        <v>107</v>
      </c>
      <c r="E87" s="1" t="s">
        <v>108</v>
      </c>
      <c r="F87" s="1" t="s">
        <v>109</v>
      </c>
      <c r="G87" s="1" t="s">
        <v>234</v>
      </c>
      <c r="H87" s="1" t="s">
        <v>257</v>
      </c>
      <c r="I87" s="1" t="s">
        <v>284</v>
      </c>
      <c r="J87" s="2">
        <v>45996</v>
      </c>
      <c r="K87" s="1">
        <v>2</v>
      </c>
      <c r="L87" s="1">
        <v>1454</v>
      </c>
      <c r="M87" s="1">
        <f t="shared" si="1"/>
        <v>2908</v>
      </c>
      <c r="N87" s="1" t="s">
        <v>237</v>
      </c>
      <c r="O87" s="1" t="s">
        <v>238</v>
      </c>
      <c r="P87" s="1" t="s">
        <v>264</v>
      </c>
      <c r="Q87" s="1" t="s">
        <v>247</v>
      </c>
      <c r="R87" s="3">
        <v>0</v>
      </c>
      <c r="S87" s="1" t="s">
        <v>248</v>
      </c>
      <c r="T87" s="2">
        <v>46018</v>
      </c>
    </row>
    <row r="88" spans="1:20" ht="15.6" x14ac:dyDescent="0.3">
      <c r="A88" s="1" t="s">
        <v>87</v>
      </c>
      <c r="B88" s="1" t="s">
        <v>206</v>
      </c>
      <c r="C88" s="1">
        <v>41</v>
      </c>
      <c r="D88" s="1" t="s">
        <v>111</v>
      </c>
      <c r="E88" s="1" t="s">
        <v>122</v>
      </c>
      <c r="F88" s="1" t="s">
        <v>109</v>
      </c>
      <c r="G88" s="1" t="s">
        <v>234</v>
      </c>
      <c r="H88" s="1" t="s">
        <v>276</v>
      </c>
      <c r="I88" s="1" t="s">
        <v>277</v>
      </c>
      <c r="J88" s="2">
        <v>45937</v>
      </c>
      <c r="K88" s="1">
        <v>5</v>
      </c>
      <c r="L88" s="1">
        <v>2108</v>
      </c>
      <c r="M88" s="1">
        <f t="shared" si="1"/>
        <v>10540</v>
      </c>
      <c r="N88" s="1" t="s">
        <v>237</v>
      </c>
      <c r="O88" s="1" t="s">
        <v>238</v>
      </c>
      <c r="P88" s="1" t="s">
        <v>246</v>
      </c>
      <c r="Q88" s="1" t="s">
        <v>247</v>
      </c>
      <c r="R88" s="3">
        <v>0.15</v>
      </c>
      <c r="S88" s="1" t="s">
        <v>262</v>
      </c>
      <c r="T88" s="2">
        <v>45986</v>
      </c>
    </row>
    <row r="89" spans="1:20" ht="15.6" x14ac:dyDescent="0.3">
      <c r="A89" s="1" t="s">
        <v>88</v>
      </c>
      <c r="B89" s="1" t="s">
        <v>207</v>
      </c>
      <c r="C89" s="1">
        <v>21</v>
      </c>
      <c r="D89" s="1" t="s">
        <v>107</v>
      </c>
      <c r="E89" s="1" t="s">
        <v>108</v>
      </c>
      <c r="F89" s="1" t="s">
        <v>109</v>
      </c>
      <c r="G89" s="1" t="s">
        <v>234</v>
      </c>
      <c r="H89" s="1" t="s">
        <v>265</v>
      </c>
      <c r="I89" s="1" t="s">
        <v>280</v>
      </c>
      <c r="J89" s="2">
        <v>45910</v>
      </c>
      <c r="K89" s="1">
        <v>3</v>
      </c>
      <c r="L89" s="1">
        <v>3318</v>
      </c>
      <c r="M89" s="1">
        <f t="shared" si="1"/>
        <v>9954</v>
      </c>
      <c r="N89" s="1" t="s">
        <v>245</v>
      </c>
      <c r="O89" s="1" t="s">
        <v>238</v>
      </c>
      <c r="P89" s="1" t="s">
        <v>239</v>
      </c>
      <c r="Q89" s="1" t="s">
        <v>256</v>
      </c>
      <c r="R89" s="3">
        <v>0.05</v>
      </c>
      <c r="S89" s="1" t="s">
        <v>262</v>
      </c>
      <c r="T89" s="2">
        <v>46028</v>
      </c>
    </row>
    <row r="90" spans="1:20" ht="15.6" x14ac:dyDescent="0.3">
      <c r="A90" s="1" t="s">
        <v>89</v>
      </c>
      <c r="B90" s="1" t="s">
        <v>208</v>
      </c>
      <c r="C90" s="1">
        <v>34</v>
      </c>
      <c r="D90" s="1" t="s">
        <v>107</v>
      </c>
      <c r="E90" s="1" t="s">
        <v>112</v>
      </c>
      <c r="F90" s="1" t="s">
        <v>113</v>
      </c>
      <c r="G90" s="1" t="s">
        <v>263</v>
      </c>
      <c r="H90" s="1" t="s">
        <v>257</v>
      </c>
      <c r="I90" s="1" t="s">
        <v>284</v>
      </c>
      <c r="J90" s="2">
        <v>45738</v>
      </c>
      <c r="K90" s="1">
        <v>1</v>
      </c>
      <c r="L90" s="1">
        <v>4324</v>
      </c>
      <c r="M90" s="1">
        <f t="shared" si="1"/>
        <v>4324</v>
      </c>
      <c r="N90" s="1" t="s">
        <v>245</v>
      </c>
      <c r="O90" s="1" t="s">
        <v>238</v>
      </c>
      <c r="P90" s="1" t="s">
        <v>246</v>
      </c>
      <c r="Q90" s="1" t="s">
        <v>240</v>
      </c>
      <c r="R90" s="3">
        <v>0.15</v>
      </c>
      <c r="S90" s="1" t="s">
        <v>248</v>
      </c>
      <c r="T90" s="2">
        <v>45813</v>
      </c>
    </row>
    <row r="91" spans="1:20" ht="15.6" x14ac:dyDescent="0.3">
      <c r="A91" s="1" t="s">
        <v>90</v>
      </c>
      <c r="B91" s="1" t="s">
        <v>209</v>
      </c>
      <c r="C91" s="1">
        <v>27</v>
      </c>
      <c r="D91" s="1" t="s">
        <v>111</v>
      </c>
      <c r="E91" s="1" t="s">
        <v>138</v>
      </c>
      <c r="F91" s="1" t="s">
        <v>117</v>
      </c>
      <c r="G91" s="1" t="s">
        <v>263</v>
      </c>
      <c r="H91" s="1" t="s">
        <v>257</v>
      </c>
      <c r="I91" s="1" t="s">
        <v>258</v>
      </c>
      <c r="J91" s="2">
        <v>45894</v>
      </c>
      <c r="K91" s="1">
        <v>4</v>
      </c>
      <c r="L91" s="1">
        <v>1191</v>
      </c>
      <c r="M91" s="1">
        <f t="shared" si="1"/>
        <v>4764</v>
      </c>
      <c r="N91" s="1" t="s">
        <v>245</v>
      </c>
      <c r="O91" s="1" t="s">
        <v>238</v>
      </c>
      <c r="P91" s="1" t="s">
        <v>246</v>
      </c>
      <c r="Q91" s="1" t="s">
        <v>247</v>
      </c>
      <c r="R91" s="3">
        <v>0.2</v>
      </c>
      <c r="S91" s="1" t="s">
        <v>262</v>
      </c>
      <c r="T91" s="2">
        <v>45924</v>
      </c>
    </row>
    <row r="92" spans="1:20" ht="15.6" x14ac:dyDescent="0.3">
      <c r="A92" s="1" t="s">
        <v>91</v>
      </c>
      <c r="B92" s="1" t="s">
        <v>210</v>
      </c>
      <c r="C92" s="1">
        <v>51</v>
      </c>
      <c r="D92" s="1" t="s">
        <v>107</v>
      </c>
      <c r="E92" s="1" t="s">
        <v>138</v>
      </c>
      <c r="F92" s="1" t="s">
        <v>117</v>
      </c>
      <c r="G92" s="1" t="s">
        <v>268</v>
      </c>
      <c r="H92" s="1" t="s">
        <v>276</v>
      </c>
      <c r="I92" s="1" t="s">
        <v>285</v>
      </c>
      <c r="J92" s="2">
        <v>45809</v>
      </c>
      <c r="K92" s="1">
        <v>4</v>
      </c>
      <c r="L92" s="1">
        <v>2645</v>
      </c>
      <c r="M92" s="1">
        <f t="shared" si="1"/>
        <v>10580</v>
      </c>
      <c r="N92" s="1" t="s">
        <v>245</v>
      </c>
      <c r="O92" s="1" t="s">
        <v>252</v>
      </c>
      <c r="P92" s="1" t="s">
        <v>239</v>
      </c>
      <c r="Q92" s="1" t="s">
        <v>256</v>
      </c>
      <c r="R92" s="3">
        <v>0.05</v>
      </c>
      <c r="S92" s="1" t="s">
        <v>248</v>
      </c>
      <c r="T92" s="2">
        <v>45817</v>
      </c>
    </row>
    <row r="93" spans="1:20" ht="15.6" x14ac:dyDescent="0.3">
      <c r="A93" s="1" t="s">
        <v>92</v>
      </c>
      <c r="B93" s="1" t="s">
        <v>211</v>
      </c>
      <c r="C93" s="1">
        <v>55</v>
      </c>
      <c r="D93" s="1" t="s">
        <v>107</v>
      </c>
      <c r="E93" s="1" t="s">
        <v>108</v>
      </c>
      <c r="F93" s="1" t="s">
        <v>109</v>
      </c>
      <c r="G93" s="1" t="s">
        <v>242</v>
      </c>
      <c r="H93" s="1" t="s">
        <v>254</v>
      </c>
      <c r="I93" s="1" t="s">
        <v>267</v>
      </c>
      <c r="J93" s="2">
        <v>46120</v>
      </c>
      <c r="K93" s="1">
        <v>3</v>
      </c>
      <c r="L93" s="1">
        <v>2917</v>
      </c>
      <c r="M93" s="1">
        <f t="shared" si="1"/>
        <v>8751</v>
      </c>
      <c r="N93" s="1" t="s">
        <v>259</v>
      </c>
      <c r="O93" s="1" t="s">
        <v>238</v>
      </c>
      <c r="P93" s="1" t="s">
        <v>239</v>
      </c>
      <c r="Q93" s="1" t="s">
        <v>240</v>
      </c>
      <c r="R93" s="3">
        <v>0.15</v>
      </c>
      <c r="S93" s="1" t="s">
        <v>241</v>
      </c>
      <c r="T93" s="2">
        <v>46169</v>
      </c>
    </row>
    <row r="94" spans="1:20" ht="15.6" x14ac:dyDescent="0.3">
      <c r="A94" s="1" t="s">
        <v>93</v>
      </c>
      <c r="B94" s="1" t="s">
        <v>212</v>
      </c>
      <c r="C94" s="1">
        <v>37</v>
      </c>
      <c r="D94" s="1" t="s">
        <v>111</v>
      </c>
      <c r="E94" s="1" t="s">
        <v>112</v>
      </c>
      <c r="F94" s="1" t="s">
        <v>113</v>
      </c>
      <c r="G94" s="1" t="s">
        <v>263</v>
      </c>
      <c r="H94" s="1" t="s">
        <v>254</v>
      </c>
      <c r="I94" s="1" t="s">
        <v>283</v>
      </c>
      <c r="J94" s="2">
        <v>45674</v>
      </c>
      <c r="K94" s="1">
        <v>5</v>
      </c>
      <c r="L94" s="1">
        <v>3901</v>
      </c>
      <c r="M94" s="1">
        <f t="shared" si="1"/>
        <v>19505</v>
      </c>
      <c r="N94" s="1" t="s">
        <v>245</v>
      </c>
      <c r="O94" s="1" t="s">
        <v>252</v>
      </c>
      <c r="P94" s="1" t="s">
        <v>264</v>
      </c>
      <c r="Q94" s="1" t="s">
        <v>247</v>
      </c>
      <c r="R94" s="3">
        <v>0</v>
      </c>
      <c r="S94" s="1" t="s">
        <v>248</v>
      </c>
      <c r="T94" s="2">
        <v>45792</v>
      </c>
    </row>
    <row r="95" spans="1:20" ht="15.6" x14ac:dyDescent="0.3">
      <c r="A95" s="1" t="s">
        <v>94</v>
      </c>
      <c r="B95" s="1" t="s">
        <v>213</v>
      </c>
      <c r="C95" s="1">
        <v>24</v>
      </c>
      <c r="D95" s="1" t="s">
        <v>107</v>
      </c>
      <c r="E95" s="1" t="s">
        <v>119</v>
      </c>
      <c r="F95" s="1" t="s">
        <v>109</v>
      </c>
      <c r="G95" s="1" t="s">
        <v>253</v>
      </c>
      <c r="H95" s="1" t="s">
        <v>265</v>
      </c>
      <c r="I95" s="1" t="s">
        <v>266</v>
      </c>
      <c r="J95" s="2">
        <v>45658</v>
      </c>
      <c r="K95" s="1">
        <v>2</v>
      </c>
      <c r="L95" s="1">
        <v>4816</v>
      </c>
      <c r="M95" s="1">
        <f t="shared" si="1"/>
        <v>9632</v>
      </c>
      <c r="N95" s="1" t="s">
        <v>259</v>
      </c>
      <c r="O95" s="1" t="s">
        <v>238</v>
      </c>
      <c r="P95" s="1" t="s">
        <v>239</v>
      </c>
      <c r="Q95" s="1" t="s">
        <v>256</v>
      </c>
      <c r="R95" s="3">
        <v>0</v>
      </c>
      <c r="S95" s="1" t="s">
        <v>241</v>
      </c>
      <c r="T95" s="2">
        <v>45702</v>
      </c>
    </row>
    <row r="96" spans="1:20" ht="15.6" x14ac:dyDescent="0.3">
      <c r="A96" s="1" t="s">
        <v>95</v>
      </c>
      <c r="B96" s="1" t="s">
        <v>214</v>
      </c>
      <c r="C96" s="1">
        <v>25</v>
      </c>
      <c r="D96" s="1" t="s">
        <v>107</v>
      </c>
      <c r="E96" s="1" t="s">
        <v>112</v>
      </c>
      <c r="F96" s="1" t="s">
        <v>113</v>
      </c>
      <c r="G96" s="1" t="s">
        <v>253</v>
      </c>
      <c r="H96" s="1" t="s">
        <v>276</v>
      </c>
      <c r="I96" s="1" t="s">
        <v>278</v>
      </c>
      <c r="J96" s="2">
        <v>45924</v>
      </c>
      <c r="K96" s="1">
        <v>1</v>
      </c>
      <c r="L96" s="1">
        <v>3053</v>
      </c>
      <c r="M96" s="1">
        <f t="shared" si="1"/>
        <v>3053</v>
      </c>
      <c r="N96" s="1" t="s">
        <v>245</v>
      </c>
      <c r="O96" s="1" t="s">
        <v>252</v>
      </c>
      <c r="P96" s="1" t="s">
        <v>264</v>
      </c>
      <c r="Q96" s="1" t="s">
        <v>256</v>
      </c>
      <c r="R96" s="3">
        <v>0.05</v>
      </c>
      <c r="S96" s="1" t="s">
        <v>262</v>
      </c>
      <c r="T96" s="2">
        <v>45992</v>
      </c>
    </row>
    <row r="97" spans="1:20" ht="15.6" x14ac:dyDescent="0.3">
      <c r="A97" s="1" t="s">
        <v>96</v>
      </c>
      <c r="B97" s="1" t="s">
        <v>215</v>
      </c>
      <c r="C97" s="1">
        <v>52</v>
      </c>
      <c r="D97" s="1" t="s">
        <v>111</v>
      </c>
      <c r="E97" s="1" t="s">
        <v>112</v>
      </c>
      <c r="F97" s="1" t="s">
        <v>113</v>
      </c>
      <c r="G97" s="1" t="s">
        <v>268</v>
      </c>
      <c r="H97" s="1" t="s">
        <v>235</v>
      </c>
      <c r="I97" s="1" t="s">
        <v>236</v>
      </c>
      <c r="J97" s="2">
        <v>46149</v>
      </c>
      <c r="K97" s="1">
        <v>5</v>
      </c>
      <c r="L97" s="1">
        <v>4036</v>
      </c>
      <c r="M97" s="1">
        <f t="shared" si="1"/>
        <v>20180</v>
      </c>
      <c r="N97" s="1" t="s">
        <v>245</v>
      </c>
      <c r="O97" s="1" t="s">
        <v>252</v>
      </c>
      <c r="P97" s="1" t="s">
        <v>239</v>
      </c>
      <c r="Q97" s="1" t="s">
        <v>240</v>
      </c>
      <c r="R97" s="3">
        <v>0.1</v>
      </c>
      <c r="S97" s="1" t="s">
        <v>262</v>
      </c>
      <c r="T97" s="2">
        <v>46229</v>
      </c>
    </row>
    <row r="98" spans="1:20" ht="15.6" x14ac:dyDescent="0.3">
      <c r="A98" s="1" t="s">
        <v>97</v>
      </c>
      <c r="B98" s="1" t="s">
        <v>216</v>
      </c>
      <c r="C98" s="1">
        <v>48</v>
      </c>
      <c r="D98" s="1" t="s">
        <v>111</v>
      </c>
      <c r="E98" s="1" t="s">
        <v>116</v>
      </c>
      <c r="F98" s="1" t="s">
        <v>117</v>
      </c>
      <c r="G98" s="1" t="s">
        <v>242</v>
      </c>
      <c r="H98" s="1" t="s">
        <v>243</v>
      </c>
      <c r="I98" s="1" t="s">
        <v>282</v>
      </c>
      <c r="J98" s="2">
        <v>45946</v>
      </c>
      <c r="K98" s="1">
        <v>3</v>
      </c>
      <c r="L98" s="1">
        <v>3574</v>
      </c>
      <c r="M98" s="1">
        <f t="shared" si="1"/>
        <v>10722</v>
      </c>
      <c r="N98" s="1" t="s">
        <v>237</v>
      </c>
      <c r="O98" s="1" t="s">
        <v>238</v>
      </c>
      <c r="P98" s="1" t="s">
        <v>264</v>
      </c>
      <c r="Q98" s="1" t="s">
        <v>256</v>
      </c>
      <c r="R98" s="3">
        <v>0.2</v>
      </c>
      <c r="S98" s="1" t="s">
        <v>241</v>
      </c>
      <c r="T98" s="2">
        <v>46050</v>
      </c>
    </row>
    <row r="99" spans="1:20" ht="15.6" x14ac:dyDescent="0.3">
      <c r="A99" s="1" t="s">
        <v>98</v>
      </c>
      <c r="B99" s="1" t="s">
        <v>217</v>
      </c>
      <c r="C99" s="1">
        <v>23</v>
      </c>
      <c r="D99" s="1" t="s">
        <v>107</v>
      </c>
      <c r="E99" s="1" t="s">
        <v>112</v>
      </c>
      <c r="F99" s="1" t="s">
        <v>113</v>
      </c>
      <c r="G99" s="1" t="s">
        <v>242</v>
      </c>
      <c r="H99" s="1" t="s">
        <v>235</v>
      </c>
      <c r="I99" s="1" t="s">
        <v>272</v>
      </c>
      <c r="J99" s="2">
        <v>45988</v>
      </c>
      <c r="K99" s="1">
        <v>3</v>
      </c>
      <c r="L99" s="1">
        <v>4035</v>
      </c>
      <c r="M99" s="1">
        <f t="shared" si="1"/>
        <v>12105</v>
      </c>
      <c r="N99" s="1" t="s">
        <v>237</v>
      </c>
      <c r="O99" s="1" t="s">
        <v>238</v>
      </c>
      <c r="P99" s="1" t="s">
        <v>239</v>
      </c>
      <c r="Q99" s="1" t="s">
        <v>256</v>
      </c>
      <c r="R99" s="3">
        <v>0</v>
      </c>
      <c r="S99" s="1" t="s">
        <v>262</v>
      </c>
      <c r="T99" s="2">
        <v>46011</v>
      </c>
    </row>
    <row r="100" spans="1:20" ht="15.6" x14ac:dyDescent="0.3">
      <c r="A100" s="1" t="s">
        <v>99</v>
      </c>
      <c r="B100" s="1" t="s">
        <v>218</v>
      </c>
      <c r="C100" s="1">
        <v>58</v>
      </c>
      <c r="D100" s="1" t="s">
        <v>107</v>
      </c>
      <c r="E100" s="1" t="s">
        <v>119</v>
      </c>
      <c r="F100" s="1" t="s">
        <v>109</v>
      </c>
      <c r="G100" s="1" t="s">
        <v>268</v>
      </c>
      <c r="H100" s="1" t="s">
        <v>243</v>
      </c>
      <c r="I100" s="1" t="s">
        <v>250</v>
      </c>
      <c r="J100" s="2">
        <v>45864</v>
      </c>
      <c r="K100" s="1">
        <v>2</v>
      </c>
      <c r="L100" s="1">
        <v>2010</v>
      </c>
      <c r="M100" s="1">
        <f t="shared" si="1"/>
        <v>4020</v>
      </c>
      <c r="N100" s="1" t="s">
        <v>237</v>
      </c>
      <c r="O100" s="1" t="s">
        <v>238</v>
      </c>
      <c r="P100" s="1" t="s">
        <v>246</v>
      </c>
      <c r="Q100" s="1" t="s">
        <v>240</v>
      </c>
      <c r="R100" s="3">
        <v>0.15</v>
      </c>
      <c r="S100" s="1" t="s">
        <v>241</v>
      </c>
      <c r="T100" s="2">
        <v>45943</v>
      </c>
    </row>
    <row r="101" spans="1:20" ht="15.6" x14ac:dyDescent="0.3">
      <c r="A101" s="1" t="s">
        <v>100</v>
      </c>
      <c r="B101" s="1" t="s">
        <v>219</v>
      </c>
      <c r="C101" s="1">
        <v>54</v>
      </c>
      <c r="D101" s="1" t="s">
        <v>107</v>
      </c>
      <c r="E101" s="1" t="s">
        <v>144</v>
      </c>
      <c r="F101" s="1" t="s">
        <v>145</v>
      </c>
      <c r="G101" s="1" t="s">
        <v>234</v>
      </c>
      <c r="H101" s="1" t="s">
        <v>276</v>
      </c>
      <c r="I101" s="1" t="s">
        <v>285</v>
      </c>
      <c r="J101" s="2">
        <v>45849</v>
      </c>
      <c r="K101" s="1">
        <v>4</v>
      </c>
      <c r="L101" s="1">
        <v>3094</v>
      </c>
      <c r="M101" s="1">
        <f t="shared" si="1"/>
        <v>12376</v>
      </c>
      <c r="N101" s="1" t="s">
        <v>251</v>
      </c>
      <c r="O101" s="1" t="s">
        <v>252</v>
      </c>
      <c r="P101" s="1" t="s">
        <v>239</v>
      </c>
      <c r="Q101" s="1" t="s">
        <v>256</v>
      </c>
      <c r="R101" s="3">
        <v>0.15</v>
      </c>
      <c r="S101" s="1" t="s">
        <v>241</v>
      </c>
      <c r="T101" s="2">
        <v>45884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Customer_Purchase_Data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PONNAM</dc:creator>
  <cp:lastModifiedBy>DINESH PONNAM</cp:lastModifiedBy>
  <dcterms:created xsi:type="dcterms:W3CDTF">2026-06-03T09:17:30Z</dcterms:created>
  <dcterms:modified xsi:type="dcterms:W3CDTF">2026-06-06T10:54:57Z</dcterms:modified>
</cp:coreProperties>
</file>